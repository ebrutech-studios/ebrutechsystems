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rutech-studios" sheetId="1" state="visible" r:id="rId1"/>
    <sheet name="Monthly Budget Planner" sheetId="2" state="visible" r:id="rId2"/>
    <sheet name="Etsy Seller Finance Tracker" sheetId="3" state="visible" r:id="rId3"/>
    <sheet name="Social Media Content Calenda" sheetId="4" state="visible" r:id="rId4"/>
    <sheet name="Wedding Planning Spreadsheet" sheetId="5" state="visible" r:id="rId5"/>
    <sheet name="Business Invoice Template" sheetId="6" state="visible" r:id="rId6"/>
    <sheet name="Annua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E8D5F5"/>
      <sz val="11"/>
    </font>
    <font>
      <name val="Calibri"/>
      <b val="1"/>
      <color rgb="00FFFFFF"/>
      <sz val="9"/>
    </font>
    <font>
      <name val="Calibri"/>
      <b val="1"/>
      <color rgb="00495057"/>
      <sz val="10"/>
    </font>
    <font>
      <name val="Calibri"/>
      <b val="1"/>
      <color rgb="000E6655"/>
      <sz val="10"/>
    </font>
    <font>
      <name val="Calibri"/>
      <color rgb="008B4513"/>
      <sz val="10"/>
    </font>
    <font>
      <name val="Calibri"/>
      <color rgb="001A5276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5B2C8D"/>
      <sz val="8"/>
    </font>
    <font>
      <name val="Calibri"/>
      <color rgb="00000000"/>
      <sz val="10"/>
    </font>
    <font>
      <name val="Calibri"/>
      <b val="1"/>
      <color rgb="000E6655"/>
      <sz val="8"/>
    </font>
    <font>
      <name val="Calibri"/>
      <b val="1"/>
      <color rgb="00A04000"/>
      <sz val="8"/>
    </font>
    <font>
      <name val="Calibri"/>
      <b val="1"/>
      <color rgb="00943126"/>
      <sz val="8"/>
    </font>
    <font>
      <name val="Calibri"/>
      <b val="1"/>
      <color rgb="001A5276"/>
      <sz val="8"/>
    </font>
    <font>
      <name val="Calibri"/>
      <b val="1"/>
      <color rgb="001A5276"/>
      <sz val="10"/>
    </font>
    <font>
      <name val="Calibri"/>
      <color rgb="002C3E50"/>
      <sz val="10"/>
    </font>
    <font>
      <name val="Calibri"/>
      <b val="1"/>
      <color rgb="00FFFFFF"/>
      <sz val="16"/>
    </font>
    <font>
      <name val="Calibri"/>
      <i val="1"/>
      <color rgb="005B2C8D"/>
      <sz val="10"/>
    </font>
    <font>
      <name val="Calibri"/>
      <b val="1"/>
      <color rgb="002C3E50"/>
      <sz val="10"/>
    </font>
    <font>
      <name val="Calibri"/>
      <i val="1"/>
      <color rgb="000E6655"/>
      <sz val="10"/>
    </font>
    <font>
      <name val="Calibri"/>
      <i val="1"/>
      <color rgb="00A04000"/>
      <sz val="10"/>
    </font>
    <font>
      <name val="Calibri"/>
      <i val="1"/>
      <color rgb="00943126"/>
      <sz val="10"/>
    </font>
    <font>
      <name val="Calibri"/>
      <i val="1"/>
      <color rgb="001A5276"/>
      <sz val="10"/>
    </font>
    <font>
      <name val="Calibri"/>
      <b val="1"/>
      <color rgb="00FFFFFF"/>
      <sz val="15"/>
    </font>
    <font>
      <name val="Calibri"/>
      <b val="1"/>
      <color rgb="00FFFFFF"/>
      <sz val="10"/>
    </font>
  </fonts>
  <fills count="33">
    <fill>
      <patternFill/>
    </fill>
    <fill>
      <patternFill patternType="gray125"/>
    </fill>
    <fill>
      <patternFill patternType="solid">
        <fgColor rgb="002C1654"/>
      </patternFill>
    </fill>
    <fill>
      <patternFill patternType="solid">
        <fgColor rgb="003D1A6E"/>
      </patternFill>
    </fill>
    <fill>
      <patternFill patternType="solid">
        <fgColor rgb="00FFF9F0"/>
      </patternFill>
    </fill>
    <fill>
      <patternFill patternType="solid">
        <fgColor rgb="007D3C98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D35400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922B21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45A32"/>
      </patternFill>
    </fill>
    <fill>
      <patternFill patternType="solid">
        <fgColor rgb="00FDF3FF"/>
      </patternFill>
    </fill>
    <fill>
      <patternFill patternType="solid">
        <fgColor rgb="00F0FFF8"/>
      </patternFill>
    </fill>
    <fill>
      <patternFill patternType="solid">
        <fgColor rgb="00FFF3EC"/>
      </patternFill>
    </fill>
    <fill>
      <patternFill patternType="solid">
        <fgColor rgb="00FFF0F5"/>
      </patternFill>
    </fill>
    <fill>
      <patternFill patternType="solid">
        <fgColor rgb="00EEF6FF"/>
      </patternFill>
    </fill>
    <fill>
      <patternFill patternType="solid">
        <fgColor rgb="005B2C8D"/>
      </patternFill>
    </fill>
    <fill>
      <patternFill patternType="solid">
        <fgColor rgb="00D5B8F5"/>
      </patternFill>
    </fill>
    <fill>
      <patternFill patternType="solid">
        <fgColor rgb="00FAFAFA"/>
      </patternFill>
    </fill>
    <fill>
      <patternFill patternType="solid">
        <fgColor rgb="000E6655"/>
      </patternFill>
    </fill>
    <fill>
      <patternFill patternType="solid">
        <fgColor rgb="00B8F5D5"/>
      </patternFill>
    </fill>
    <fill>
      <patternFill patternType="solid">
        <fgColor rgb="00A04000"/>
      </patternFill>
    </fill>
    <fill>
      <patternFill patternType="solid">
        <fgColor rgb="00F5D5B8"/>
      </patternFill>
    </fill>
    <fill>
      <patternFill patternType="solid">
        <fgColor rgb="00943126"/>
      </patternFill>
    </fill>
    <fill>
      <patternFill patternType="solid">
        <fgColor rgb="00F5B8C8"/>
      </patternFill>
    </fill>
    <fill>
      <patternFill patternType="solid">
        <fgColor rgb="00B8D5F5"/>
      </patternFill>
    </fill>
    <fill>
      <patternFill patternType="solid">
        <fgColor rgb="00EBF5FB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164" fontId="5" fillId="16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center" vertical="center"/>
    </xf>
    <xf numFmtId="165" fontId="7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indent="1"/>
    </xf>
    <xf numFmtId="164" fontId="5" fillId="17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5" fontId="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164" fontId="5" fillId="18" borderId="1" applyAlignment="1" pivotButton="0" quotePrefix="0" xfId="0">
      <alignment horizontal="center" vertical="center"/>
    </xf>
    <xf numFmtId="164" fontId="6" fillId="18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indent="1"/>
    </xf>
    <xf numFmtId="164" fontId="5" fillId="19" borderId="1" applyAlignment="1" pivotButton="0" quotePrefix="0" xfId="0">
      <alignment horizontal="center" vertical="center"/>
    </xf>
    <xf numFmtId="164" fontId="6" fillId="19" borderId="1" applyAlignment="1" pivotButton="0" quotePrefix="0" xfId="0">
      <alignment horizontal="center" vertical="center"/>
    </xf>
    <xf numFmtId="165" fontId="7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indent="1"/>
    </xf>
    <xf numFmtId="164" fontId="5" fillId="20" borderId="1" applyAlignment="1" pivotButton="0" quotePrefix="0" xfId="0">
      <alignment horizontal="center" vertical="center"/>
    </xf>
    <xf numFmtId="164" fontId="6" fillId="20" borderId="1" applyAlignment="1" pivotButton="0" quotePrefix="0" xfId="0">
      <alignment horizontal="center" vertical="center"/>
    </xf>
    <xf numFmtId="165" fontId="7" fillId="2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left" vertical="center" indent="2"/>
    </xf>
    <xf numFmtId="0" fontId="10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left" vertical="center" indent="1"/>
    </xf>
    <xf numFmtId="164" fontId="11" fillId="23" borderId="1" applyAlignment="1" pivotButton="0" quotePrefix="0" xfId="0">
      <alignment horizontal="center" vertical="center"/>
    </xf>
    <xf numFmtId="1" fontId="11" fillId="23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horizontal="center" vertical="center"/>
    </xf>
    <xf numFmtId="165" fontId="11" fillId="23" borderId="1" applyAlignment="1" pivotButton="0" quotePrefix="0" xfId="0">
      <alignment horizontal="center" vertical="center"/>
    </xf>
    <xf numFmtId="0" fontId="8" fillId="24" borderId="0" applyAlignment="1" pivotButton="0" quotePrefix="0" xfId="0">
      <alignment horizontal="left" vertical="center" indent="2"/>
    </xf>
    <xf numFmtId="0" fontId="12" fillId="25" borderId="1" applyAlignment="1" pivotButton="0" quotePrefix="0" xfId="0">
      <alignment horizontal="center" vertical="center" wrapText="1"/>
    </xf>
    <xf numFmtId="0" fontId="8" fillId="26" borderId="0" applyAlignment="1" pivotButton="0" quotePrefix="0" xfId="0">
      <alignment horizontal="left" vertical="center" indent="2"/>
    </xf>
    <xf numFmtId="0" fontId="13" fillId="27" borderId="1" applyAlignment="1" pivotButton="0" quotePrefix="0" xfId="0">
      <alignment horizontal="center" vertical="center" wrapText="1"/>
    </xf>
    <xf numFmtId="0" fontId="8" fillId="28" borderId="0" applyAlignment="1" pivotButton="0" quotePrefix="0" xfId="0">
      <alignment horizontal="left" vertical="center" indent="2"/>
    </xf>
    <xf numFmtId="0" fontId="14" fillId="29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left" vertical="center" indent="2"/>
    </xf>
    <xf numFmtId="0" fontId="15" fillId="30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/>
    </xf>
    <xf numFmtId="0" fontId="16" fillId="31" borderId="1" pivotButton="0" quotePrefix="0" xfId="0"/>
    <xf numFmtId="0" fontId="17" fillId="31" borderId="1" applyAlignment="1" pivotButton="0" quotePrefix="0" xfId="0">
      <alignment horizontal="left" vertical="center" indent="1"/>
    </xf>
    <xf numFmtId="0" fontId="18" fillId="21" borderId="0" applyAlignment="1" pivotButton="0" quotePrefix="0" xfId="0">
      <alignment horizontal="center" vertical="center"/>
    </xf>
    <xf numFmtId="0" fontId="19" fillId="22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left" vertical="center" indent="1"/>
    </xf>
    <xf numFmtId="164" fontId="11" fillId="16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left" vertical="center" indent="1"/>
    </xf>
    <xf numFmtId="164" fontId="11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left" vertical="center" indent="1"/>
    </xf>
    <xf numFmtId="164" fontId="11" fillId="18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indent="1"/>
    </xf>
    <xf numFmtId="164" fontId="11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left" vertical="center" indent="1"/>
    </xf>
    <xf numFmtId="164" fontId="11" fillId="20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164" fontId="8" fillId="21" borderId="1" applyAlignment="1" pivotButton="0" quotePrefix="0" xfId="0">
      <alignment horizontal="center" vertical="center"/>
    </xf>
    <xf numFmtId="165" fontId="8" fillId="21" borderId="1" applyAlignment="1" pivotButton="0" quotePrefix="0" xfId="0">
      <alignment horizontal="center" vertical="center"/>
    </xf>
    <xf numFmtId="0" fontId="18" fillId="24" borderId="0" applyAlignment="1" pivotButton="0" quotePrefix="0" xfId="0">
      <alignment horizontal="center" vertical="center"/>
    </xf>
    <xf numFmtId="0" fontId="21" fillId="25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/>
    </xf>
    <xf numFmtId="164" fontId="8" fillId="24" borderId="1" applyAlignment="1" pivotButton="0" quotePrefix="0" xfId="0">
      <alignment horizontal="center" vertical="center"/>
    </xf>
    <xf numFmtId="165" fontId="8" fillId="24" borderId="1" applyAlignment="1" pivotButton="0" quotePrefix="0" xfId="0">
      <alignment horizontal="center" vertical="center"/>
    </xf>
    <xf numFmtId="0" fontId="18" fillId="26" borderId="0" applyAlignment="1" pivotButton="0" quotePrefix="0" xfId="0">
      <alignment horizontal="center" vertical="center"/>
    </xf>
    <xf numFmtId="0" fontId="22" fillId="27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/>
    </xf>
    <xf numFmtId="164" fontId="8" fillId="26" borderId="1" applyAlignment="1" pivotButton="0" quotePrefix="0" xfId="0">
      <alignment horizontal="center" vertical="center"/>
    </xf>
    <xf numFmtId="165" fontId="8" fillId="26" borderId="1" applyAlignment="1" pivotButton="0" quotePrefix="0" xfId="0">
      <alignment horizontal="center" vertical="center"/>
    </xf>
    <xf numFmtId="0" fontId="18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/>
    </xf>
    <xf numFmtId="164" fontId="8" fillId="28" borderId="1" applyAlignment="1" pivotButton="0" quotePrefix="0" xfId="0">
      <alignment horizontal="center" vertical="center"/>
    </xf>
    <xf numFmtId="165" fontId="8" fillId="28" borderId="1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24" fillId="30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4" fontId="8" fillId="13" borderId="1" applyAlignment="1" pivotButton="0" quotePrefix="0" xfId="0">
      <alignment horizontal="center" vertical="center"/>
    </xf>
    <xf numFmtId="165" fontId="8" fillId="13" borderId="1" applyAlignment="1" pivotButton="0" quotePrefix="0" xfId="0">
      <alignment horizontal="center" vertical="center"/>
    </xf>
    <xf numFmtId="0" fontId="25" fillId="15" borderId="0" applyAlignment="1" pivotButton="0" quotePrefix="0" xfId="0">
      <alignment horizontal="center" vertical="center"/>
    </xf>
    <xf numFmtId="0" fontId="26" fillId="32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left" vertical="center" indent="1"/>
    </xf>
    <xf numFmtId="164" fontId="11" fillId="22" borderId="1" applyAlignment="1" pivotButton="0" quotePrefix="0" xfId="0">
      <alignment horizontal="center" vertical="center"/>
    </xf>
    <xf numFmtId="164" fontId="5" fillId="22" borderId="1" applyAlignment="1" pivotButton="0" quotePrefix="0" xfId="0">
      <alignment horizontal="center" vertical="center"/>
    </xf>
    <xf numFmtId="165" fontId="11" fillId="22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11" fillId="25" borderId="1" applyAlignment="1" pivotButton="0" quotePrefix="0" xfId="0">
      <alignment horizontal="left" vertical="center" indent="1"/>
    </xf>
    <xf numFmtId="164" fontId="11" fillId="25" borderId="1" applyAlignment="1" pivotButton="0" quotePrefix="0" xfId="0">
      <alignment horizontal="center" vertical="center"/>
    </xf>
    <xf numFmtId="164" fontId="5" fillId="25" borderId="1" applyAlignment="1" pivotButton="0" quotePrefix="0" xfId="0">
      <alignment horizontal="center" vertical="center"/>
    </xf>
    <xf numFmtId="165" fontId="11" fillId="25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left" vertical="center"/>
    </xf>
    <xf numFmtId="0" fontId="5" fillId="25" borderId="1" applyAlignment="1" pivotButton="0" quotePrefix="0" xfId="0">
      <alignment horizontal="left" vertical="center"/>
    </xf>
    <xf numFmtId="0" fontId="11" fillId="27" borderId="1" applyAlignment="1" pivotButton="0" quotePrefix="0" xfId="0">
      <alignment horizontal="left" vertical="center" indent="1"/>
    </xf>
    <xf numFmtId="164" fontId="11" fillId="27" borderId="1" applyAlignment="1" pivotButton="0" quotePrefix="0" xfId="0">
      <alignment horizontal="center" vertical="center"/>
    </xf>
    <xf numFmtId="164" fontId="5" fillId="27" borderId="1" applyAlignment="1" pivotButton="0" quotePrefix="0" xfId="0">
      <alignment horizontal="center" vertical="center"/>
    </xf>
    <xf numFmtId="165" fontId="11" fillId="27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left" vertical="center"/>
    </xf>
    <xf numFmtId="0" fontId="5" fillId="27" borderId="1" applyAlignment="1" pivotButton="0" quotePrefix="0" xfId="0">
      <alignment horizontal="left" vertical="center"/>
    </xf>
    <xf numFmtId="0" fontId="11" fillId="29" borderId="1" applyAlignment="1" pivotButton="0" quotePrefix="0" xfId="0">
      <alignment horizontal="left" vertical="center" indent="1"/>
    </xf>
    <xf numFmtId="164" fontId="11" fillId="29" borderId="1" applyAlignment="1" pivotButton="0" quotePrefix="0" xfId="0">
      <alignment horizontal="center" vertical="center"/>
    </xf>
    <xf numFmtId="164" fontId="5" fillId="29" borderId="1" applyAlignment="1" pivotButton="0" quotePrefix="0" xfId="0">
      <alignment horizontal="center" vertical="center"/>
    </xf>
    <xf numFmtId="165" fontId="11" fillId="29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left" vertical="center"/>
    </xf>
    <xf numFmtId="0" fontId="5" fillId="29" borderId="1" applyAlignment="1" pivotButton="0" quotePrefix="0" xfId="0">
      <alignment horizontal="left" vertical="center"/>
    </xf>
    <xf numFmtId="0" fontId="11" fillId="30" borderId="1" applyAlignment="1" pivotButton="0" quotePrefix="0" xfId="0">
      <alignment horizontal="left" vertical="center" indent="1"/>
    </xf>
    <xf numFmtId="164" fontId="11" fillId="30" borderId="1" applyAlignment="1" pivotButton="0" quotePrefix="0" xfId="0">
      <alignment horizontal="center" vertical="center"/>
    </xf>
    <xf numFmtId="164" fontId="5" fillId="30" borderId="1" applyAlignment="1" pivotButton="0" quotePrefix="0" xfId="0">
      <alignment horizontal="center" vertical="center"/>
    </xf>
    <xf numFmtId="165" fontId="11" fillId="30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left" vertical="center"/>
    </xf>
    <xf numFmtId="0" fontId="5" fillId="30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164" fontId="8" fillId="32" borderId="1" applyAlignment="1" pivotButton="0" quotePrefix="0" xfId="0">
      <alignment horizontal="center" vertical="center"/>
    </xf>
    <xf numFmtId="165" fontId="8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Budget Planner — Monthly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Budget Planner'!I3</f>
            </strRef>
          </tx>
          <spPr>
            <a:solidFill>
              <a:srgbClr val="5B2C8D"/>
            </a:solidFill>
            <a:ln>
              <a:prstDash val="solid"/>
            </a:ln>
          </spPr>
          <cat>
            <numRef>
              <f>'Monthly Budget Planner'!$A$4:$A$15</f>
            </numRef>
          </cat>
          <val>
            <numRef>
              <f>'Monthly Budget Planner'!$I$4:$I$15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Etsy Seller Finance Tracker — Monthly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'Etsy Seller Finance Tracker'!I3</f>
            </strRef>
          </tx>
          <spPr>
            <a:solidFill>
              <a:srgbClr val="0E6655"/>
            </a:solidFill>
            <a:ln>
              <a:prstDash val="solid"/>
            </a:ln>
          </spPr>
          <cat>
            <numRef>
              <f>'Etsy Seller Finance Tracker'!$A$4:$A$15</f>
            </numRef>
          </cat>
          <val>
            <numRef>
              <f>'Etsy Seller Finance Tracker'!$I$4:$I$15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Social Media Content Calendar — Monthly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'Social Media Content Calenda'!I3</f>
            </strRef>
          </tx>
          <spPr>
            <a:solidFill>
              <a:srgbClr val="A04000"/>
            </a:solidFill>
            <a:ln>
              <a:prstDash val="solid"/>
            </a:ln>
          </spPr>
          <cat>
            <numRef>
              <f>'Social Media Content Calenda'!$A$4:$A$15</f>
            </numRef>
          </cat>
          <val>
            <numRef>
              <f>'Social Media Content Calenda'!$I$4:$I$15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Wedding Planning Spreadsheet — Monthly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'Wedding Planning Spreadsheet'!I3</f>
            </strRef>
          </tx>
          <spPr>
            <a:solidFill>
              <a:srgbClr val="943126"/>
            </a:solidFill>
            <a:ln>
              <a:prstDash val="solid"/>
            </a:ln>
          </spPr>
          <cat>
            <numRef>
              <f>'Wedding Planning Spreadsheet'!$A$4:$A$15</f>
            </numRef>
          </cat>
          <val>
            <numRef>
              <f>'Wedding Planning Spreadsheet'!$I$4:$I$15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Business Invoice Template — Monthly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Invoice Template'!I3</f>
            </strRef>
          </tx>
          <spPr>
            <a:solidFill>
              <a:srgbClr val="1A5276"/>
            </a:solidFill>
            <a:ln>
              <a:prstDash val="solid"/>
            </a:ln>
          </spPr>
          <cat>
            <numRef>
              <f>'Business Invoice Template'!$A$4:$A$15</f>
            </numRef>
          </cat>
          <val>
            <numRef>
              <f>'Business Invoice Template'!$I$4:$I$15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Comparison'!D2</f>
            </strRef>
          </tx>
          <spPr>
            <a:ln>
              <a:prstDash val="solid"/>
            </a:ln>
          </spPr>
          <cat>
            <numRef>
              <f>'Annual Comparison'!$A$3:$A$7</f>
            </numRef>
          </cat>
          <val>
            <numRef>
              <f>'Annual Comparison'!$D$3:$D$7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3" customWidth="1" min="6" max="6"/>
    <col width="13" customWidth="1" min="7" max="7"/>
    <col width="16" customWidth="1" min="8" max="8"/>
    <col width="14" customWidth="1" min="9" max="9"/>
    <col width="15" customWidth="1" min="10" max="10"/>
    <col width="10" customWidth="1" min="11" max="11"/>
    <col width="18" customWidth="1" min="12" max="12"/>
  </cols>
  <sheetData>
    <row r="1" ht="60" customHeight="1">
      <c r="A1" s="1" t="inlineStr">
        <is>
          <t>✦  EBRUTECH STUDIOS  —  ETSY MONTHLY BUDGET TRACKER  ✦</t>
        </is>
      </c>
    </row>
    <row r="2" ht="30" customHeight="1">
      <c r="A2" s="2" t="inlineStr">
        <is>
          <t>5-Product Portfolio  •  Annual Financial Overview  •  2025–2026</t>
        </is>
      </c>
    </row>
    <row r="3" ht="20" customHeight="1">
      <c r="A3" s="3" t="n"/>
    </row>
    <row r="4" ht="38" customHeight="1">
      <c r="A4" s="4" t="inlineStr">
        <is>
          <t>MONTH</t>
        </is>
      </c>
      <c r="B4" s="5" t="inlineStr">
        <is>
          <t>TOTAL REVENUE</t>
        </is>
      </c>
      <c r="C4" s="6" t="inlineStr">
        <is>
          <t>LISTING FEES</t>
        </is>
      </c>
      <c r="D4" s="7" t="inlineStr">
        <is>
          <t>TRANSACTION FEES</t>
        </is>
      </c>
      <c r="E4" s="8" t="inlineStr">
        <is>
          <t>PAYMENT FEES</t>
        </is>
      </c>
      <c r="F4" s="9" t="inlineStr">
        <is>
          <t>AD SPEND</t>
        </is>
      </c>
      <c r="G4" s="10" t="inlineStr">
        <is>
          <t>DESIGN COST</t>
        </is>
      </c>
      <c r="H4" s="11" t="inlineStr">
        <is>
          <t>TOTAL EXPENSES</t>
        </is>
      </c>
      <c r="I4" s="12" t="inlineStr">
        <is>
          <t>NET PROFIT</t>
        </is>
      </c>
      <c r="J4" s="13" t="inlineStr">
        <is>
          <t>PROFIT MARGIN</t>
        </is>
      </c>
      <c r="K4" s="14" t="inlineStr">
        <is>
          <t>ROI</t>
        </is>
      </c>
      <c r="L4" s="15" t="inlineStr">
        <is>
          <t>CUMULATIVE PROFIT</t>
        </is>
      </c>
    </row>
    <row r="5" ht="24" customHeight="1">
      <c r="A5" s="16" t="inlineStr">
        <is>
          <t>January</t>
        </is>
      </c>
      <c r="B5" s="17" t="n">
        <v>2433</v>
      </c>
      <c r="C5" s="18" t="n">
        <v>1</v>
      </c>
      <c r="D5" s="18" t="n">
        <v>158.145</v>
      </c>
      <c r="E5" s="18" t="n">
        <v>72.98999999999999</v>
      </c>
      <c r="F5" s="18" t="n">
        <v>180</v>
      </c>
      <c r="G5" s="18" t="n">
        <v>88</v>
      </c>
      <c r="H5" s="17" t="n">
        <v>500.135</v>
      </c>
      <c r="I5" s="17" t="n">
        <v>1932.865</v>
      </c>
      <c r="J5" s="19" t="n">
        <v>79.44369091656391</v>
      </c>
      <c r="K5" s="19" t="n">
        <v>386.4686534635649</v>
      </c>
      <c r="L5" s="17" t="n">
        <v>1932.865</v>
      </c>
    </row>
    <row r="6" ht="24" customHeight="1">
      <c r="A6" s="20" t="inlineStr">
        <is>
          <t>February</t>
        </is>
      </c>
      <c r="B6" s="21" t="n">
        <v>2433</v>
      </c>
      <c r="C6" s="22" t="n">
        <v>1</v>
      </c>
      <c r="D6" s="22" t="n">
        <v>158.145</v>
      </c>
      <c r="E6" s="22" t="n">
        <v>72.98999999999999</v>
      </c>
      <c r="F6" s="22" t="n">
        <v>180</v>
      </c>
      <c r="G6" s="22" t="n">
        <v>88</v>
      </c>
      <c r="H6" s="21" t="n">
        <v>500.135</v>
      </c>
      <c r="I6" s="21" t="n">
        <v>1932.865</v>
      </c>
      <c r="J6" s="23" t="n">
        <v>79.44369091656391</v>
      </c>
      <c r="K6" s="23" t="n">
        <v>386.4686534635649</v>
      </c>
      <c r="L6" s="21" t="n">
        <v>3865.73</v>
      </c>
    </row>
    <row r="7" ht="24" customHeight="1">
      <c r="A7" s="24" t="inlineStr">
        <is>
          <t>March</t>
        </is>
      </c>
      <c r="B7" s="25" t="n">
        <v>2433</v>
      </c>
      <c r="C7" s="26" t="n">
        <v>1</v>
      </c>
      <c r="D7" s="26" t="n">
        <v>158.145</v>
      </c>
      <c r="E7" s="26" t="n">
        <v>72.98999999999999</v>
      </c>
      <c r="F7" s="26" t="n">
        <v>180</v>
      </c>
      <c r="G7" s="26" t="n">
        <v>88</v>
      </c>
      <c r="H7" s="25" t="n">
        <v>500.135</v>
      </c>
      <c r="I7" s="25" t="n">
        <v>1932.865</v>
      </c>
      <c r="J7" s="27" t="n">
        <v>79.44369091656391</v>
      </c>
      <c r="K7" s="27" t="n">
        <v>386.4686534635649</v>
      </c>
      <c r="L7" s="25" t="n">
        <v>5798.595</v>
      </c>
    </row>
    <row r="8" ht="24" customHeight="1">
      <c r="A8" s="28" t="inlineStr">
        <is>
          <t>April</t>
        </is>
      </c>
      <c r="B8" s="29" t="n">
        <v>2433</v>
      </c>
      <c r="C8" s="30" t="n">
        <v>1</v>
      </c>
      <c r="D8" s="30" t="n">
        <v>158.145</v>
      </c>
      <c r="E8" s="30" t="n">
        <v>72.98999999999999</v>
      </c>
      <c r="F8" s="30" t="n">
        <v>180</v>
      </c>
      <c r="G8" s="30" t="n">
        <v>88</v>
      </c>
      <c r="H8" s="29" t="n">
        <v>500.135</v>
      </c>
      <c r="I8" s="29" t="n">
        <v>1932.865</v>
      </c>
      <c r="J8" s="31" t="n">
        <v>79.44369091656391</v>
      </c>
      <c r="K8" s="31" t="n">
        <v>386.4686534635649</v>
      </c>
      <c r="L8" s="29" t="n">
        <v>7731.46</v>
      </c>
    </row>
    <row r="9" ht="24" customHeight="1">
      <c r="A9" s="32" t="inlineStr">
        <is>
          <t>May</t>
        </is>
      </c>
      <c r="B9" s="33" t="n">
        <v>2433</v>
      </c>
      <c r="C9" s="34" t="n">
        <v>1</v>
      </c>
      <c r="D9" s="34" t="n">
        <v>158.145</v>
      </c>
      <c r="E9" s="34" t="n">
        <v>72.98999999999999</v>
      </c>
      <c r="F9" s="34" t="n">
        <v>180</v>
      </c>
      <c r="G9" s="34" t="n">
        <v>88</v>
      </c>
      <c r="H9" s="33" t="n">
        <v>500.135</v>
      </c>
      <c r="I9" s="33" t="n">
        <v>1932.865</v>
      </c>
      <c r="J9" s="35" t="n">
        <v>79.44369091656391</v>
      </c>
      <c r="K9" s="35" t="n">
        <v>386.4686534635649</v>
      </c>
      <c r="L9" s="33" t="n">
        <v>9664.325000000001</v>
      </c>
    </row>
    <row r="10" ht="24" customHeight="1">
      <c r="A10" s="16" t="inlineStr">
        <is>
          <t>June</t>
        </is>
      </c>
      <c r="B10" s="17" t="n">
        <v>2433</v>
      </c>
      <c r="C10" s="18" t="n">
        <v>1</v>
      </c>
      <c r="D10" s="18" t="n">
        <v>158.145</v>
      </c>
      <c r="E10" s="18" t="n">
        <v>72.98999999999999</v>
      </c>
      <c r="F10" s="18" t="n">
        <v>180</v>
      </c>
      <c r="G10" s="18" t="n">
        <v>88</v>
      </c>
      <c r="H10" s="17" t="n">
        <v>500.135</v>
      </c>
      <c r="I10" s="17" t="n">
        <v>1932.865</v>
      </c>
      <c r="J10" s="19" t="n">
        <v>79.44369091656391</v>
      </c>
      <c r="K10" s="19" t="n">
        <v>386.4686534635649</v>
      </c>
      <c r="L10" s="17" t="n">
        <v>11597.19</v>
      </c>
    </row>
    <row r="11" ht="24" customHeight="1">
      <c r="A11" s="20" t="inlineStr">
        <is>
          <t>July</t>
        </is>
      </c>
      <c r="B11" s="21" t="n">
        <v>2433</v>
      </c>
      <c r="C11" s="22" t="n">
        <v>1</v>
      </c>
      <c r="D11" s="22" t="n">
        <v>158.145</v>
      </c>
      <c r="E11" s="22" t="n">
        <v>72.98999999999999</v>
      </c>
      <c r="F11" s="22" t="n">
        <v>180</v>
      </c>
      <c r="G11" s="22" t="n">
        <v>88</v>
      </c>
      <c r="H11" s="21" t="n">
        <v>500.135</v>
      </c>
      <c r="I11" s="21" t="n">
        <v>1932.865</v>
      </c>
      <c r="J11" s="23" t="n">
        <v>79.44369091656391</v>
      </c>
      <c r="K11" s="23" t="n">
        <v>386.4686534635649</v>
      </c>
      <c r="L11" s="21" t="n">
        <v>13530.055</v>
      </c>
    </row>
    <row r="12" ht="24" customHeight="1">
      <c r="A12" s="24" t="inlineStr">
        <is>
          <t>August</t>
        </is>
      </c>
      <c r="B12" s="25" t="n">
        <v>2433</v>
      </c>
      <c r="C12" s="26" t="n">
        <v>1</v>
      </c>
      <c r="D12" s="26" t="n">
        <v>158.145</v>
      </c>
      <c r="E12" s="26" t="n">
        <v>72.98999999999999</v>
      </c>
      <c r="F12" s="26" t="n">
        <v>180</v>
      </c>
      <c r="G12" s="26" t="n">
        <v>88</v>
      </c>
      <c r="H12" s="25" t="n">
        <v>500.135</v>
      </c>
      <c r="I12" s="25" t="n">
        <v>1932.865</v>
      </c>
      <c r="J12" s="27" t="n">
        <v>79.44369091656391</v>
      </c>
      <c r="K12" s="27" t="n">
        <v>386.4686534635649</v>
      </c>
      <c r="L12" s="25" t="n">
        <v>15462.92</v>
      </c>
    </row>
    <row r="13" ht="24" customHeight="1">
      <c r="A13" s="28" t="inlineStr">
        <is>
          <t>September</t>
        </is>
      </c>
      <c r="B13" s="29" t="n">
        <v>2433</v>
      </c>
      <c r="C13" s="30" t="n">
        <v>1</v>
      </c>
      <c r="D13" s="30" t="n">
        <v>158.145</v>
      </c>
      <c r="E13" s="30" t="n">
        <v>72.98999999999999</v>
      </c>
      <c r="F13" s="30" t="n">
        <v>180</v>
      </c>
      <c r="G13" s="30" t="n">
        <v>88</v>
      </c>
      <c r="H13" s="29" t="n">
        <v>500.135</v>
      </c>
      <c r="I13" s="29" t="n">
        <v>1932.865</v>
      </c>
      <c r="J13" s="31" t="n">
        <v>79.44369091656391</v>
      </c>
      <c r="K13" s="31" t="n">
        <v>386.4686534635649</v>
      </c>
      <c r="L13" s="29" t="n">
        <v>17395.785</v>
      </c>
    </row>
    <row r="14" ht="24" customHeight="1">
      <c r="A14" s="32" t="inlineStr">
        <is>
          <t>October</t>
        </is>
      </c>
      <c r="B14" s="33" t="n">
        <v>2433</v>
      </c>
      <c r="C14" s="34" t="n">
        <v>1</v>
      </c>
      <c r="D14" s="34" t="n">
        <v>158.145</v>
      </c>
      <c r="E14" s="34" t="n">
        <v>72.98999999999999</v>
      </c>
      <c r="F14" s="34" t="n">
        <v>180</v>
      </c>
      <c r="G14" s="34" t="n">
        <v>88</v>
      </c>
      <c r="H14" s="33" t="n">
        <v>500.135</v>
      </c>
      <c r="I14" s="33" t="n">
        <v>1932.865</v>
      </c>
      <c r="J14" s="35" t="n">
        <v>79.44369091656391</v>
      </c>
      <c r="K14" s="35" t="n">
        <v>386.4686534635649</v>
      </c>
      <c r="L14" s="33" t="n">
        <v>19328.65</v>
      </c>
    </row>
    <row r="15" ht="24" customHeight="1">
      <c r="A15" s="16" t="inlineStr">
        <is>
          <t>November</t>
        </is>
      </c>
      <c r="B15" s="17" t="n">
        <v>2433</v>
      </c>
      <c r="C15" s="18" t="n">
        <v>1</v>
      </c>
      <c r="D15" s="18" t="n">
        <v>158.145</v>
      </c>
      <c r="E15" s="18" t="n">
        <v>72.98999999999999</v>
      </c>
      <c r="F15" s="18" t="n">
        <v>180</v>
      </c>
      <c r="G15" s="18" t="n">
        <v>88</v>
      </c>
      <c r="H15" s="17" t="n">
        <v>500.135</v>
      </c>
      <c r="I15" s="17" t="n">
        <v>1932.865</v>
      </c>
      <c r="J15" s="19" t="n">
        <v>79.44369091656391</v>
      </c>
      <c r="K15" s="19" t="n">
        <v>386.4686534635649</v>
      </c>
      <c r="L15" s="17" t="n">
        <v>21261.515</v>
      </c>
    </row>
    <row r="16" ht="24" customHeight="1">
      <c r="A16" s="20" t="inlineStr">
        <is>
          <t>December</t>
        </is>
      </c>
      <c r="B16" s="21" t="n">
        <v>2433</v>
      </c>
      <c r="C16" s="22" t="n">
        <v>1</v>
      </c>
      <c r="D16" s="22" t="n">
        <v>158.145</v>
      </c>
      <c r="E16" s="22" t="n">
        <v>72.98999999999999</v>
      </c>
      <c r="F16" s="22" t="n">
        <v>180</v>
      </c>
      <c r="G16" s="22" t="n">
        <v>88</v>
      </c>
      <c r="H16" s="21" t="n">
        <v>500.135</v>
      </c>
      <c r="I16" s="21" t="n">
        <v>1932.865</v>
      </c>
      <c r="J16" s="23" t="n">
        <v>79.44369091656391</v>
      </c>
      <c r="K16" s="23" t="n">
        <v>386.4686534635649</v>
      </c>
      <c r="L16" s="21" t="n">
        <v>23194.38</v>
      </c>
    </row>
    <row r="17" ht="30" customHeight="1">
      <c r="A17" s="36" t="inlineStr">
        <is>
          <t>ANNUAL TOTAL</t>
        </is>
      </c>
      <c r="B17" s="37">
        <f>SUM(B5:B16)</f>
        <v/>
      </c>
      <c r="C17" s="37">
        <f>SUM(C5:C16)</f>
        <v/>
      </c>
      <c r="D17" s="37">
        <f>SUM(D5:D16)</f>
        <v/>
      </c>
      <c r="E17" s="37">
        <f>SUM(E5:E16)</f>
        <v/>
      </c>
      <c r="F17" s="37">
        <f>SUM(F5:F16)</f>
        <v/>
      </c>
      <c r="G17" s="37">
        <f>SUM(G5:G16)</f>
        <v/>
      </c>
      <c r="H17" s="37">
        <f>SUM(H5:H16)</f>
        <v/>
      </c>
      <c r="I17" s="37">
        <f>SUM(I5:I16)</f>
        <v/>
      </c>
      <c r="J17" s="38">
        <f>SUM(J5:J16)</f>
        <v/>
      </c>
      <c r="K17" s="38">
        <f>SUM(K5:K16)</f>
        <v/>
      </c>
      <c r="L17" s="37">
        <f>SUM(L5:L16)</f>
        <v/>
      </c>
    </row>
    <row r="18" ht="15" customHeight="1"/>
    <row r="19" ht="35" customHeight="1">
      <c r="A19" s="39" t="inlineStr">
        <is>
          <t>⬇  PRODUCT-BY-PRODUCT MONTHLY BREAKDOWN</t>
        </is>
      </c>
    </row>
    <row r="20" ht="28" customHeight="1">
      <c r="A20" s="40" t="inlineStr">
        <is>
          <t xml:space="preserve">  ★  MONTHLY BUDGET PLANNER</t>
        </is>
      </c>
    </row>
    <row r="21" ht="20" customHeight="1">
      <c r="A21" s="41" t="inlineStr">
        <is>
          <t>PRODUCT</t>
        </is>
      </c>
      <c r="B21" s="41" t="inlineStr">
        <is>
          <t>PRICE</t>
        </is>
      </c>
      <c r="C21" s="41" t="inlineStr">
        <is>
          <t>MONTHLY SALES</t>
        </is>
      </c>
      <c r="D21" s="41" t="inlineStr">
        <is>
          <t>GROSS REVENUE</t>
        </is>
      </c>
      <c r="E21" s="41" t="inlineStr">
        <is>
          <t>LISTING FEE</t>
        </is>
      </c>
      <c r="F21" s="41" t="inlineStr">
        <is>
          <t>TXN FEE (6.5%)</t>
        </is>
      </c>
      <c r="G21" s="41" t="inlineStr">
        <is>
          <t>PAYMENT FEE (3%)</t>
        </is>
      </c>
      <c r="H21" s="41" t="inlineStr">
        <is>
          <t>AD BUDGET</t>
        </is>
      </c>
      <c r="I21" s="41" t="inlineStr">
        <is>
          <t>DESIGN COST</t>
        </is>
      </c>
      <c r="J21" s="41" t="inlineStr">
        <is>
          <t>TOTAL COSTS</t>
        </is>
      </c>
      <c r="K21" s="41" t="inlineStr">
        <is>
          <t>NET PROFIT</t>
        </is>
      </c>
      <c r="L21" s="41" t="inlineStr">
        <is>
          <t>MARGIN</t>
        </is>
      </c>
    </row>
    <row r="22" ht="24" customHeight="1">
      <c r="A22" s="42" t="inlineStr">
        <is>
          <t>Monthly Budget Planner</t>
        </is>
      </c>
      <c r="B22" s="43" t="n">
        <v>9.99</v>
      </c>
      <c r="C22" s="44" t="n">
        <v>45</v>
      </c>
      <c r="D22" s="43" t="n">
        <v>449.55</v>
      </c>
      <c r="E22" s="43" t="n">
        <v>0.2</v>
      </c>
      <c r="F22" s="43" t="n">
        <v>29.22075</v>
      </c>
      <c r="G22" s="43" t="n">
        <v>13.4865</v>
      </c>
      <c r="H22" s="43" t="n">
        <v>30</v>
      </c>
      <c r="I22" s="43" t="n">
        <v>15</v>
      </c>
      <c r="J22" s="43" t="n">
        <v>87.90725</v>
      </c>
      <c r="K22" s="45" t="n">
        <v>361.64275</v>
      </c>
      <c r="L22" s="46" t="n">
        <v>80.44550105661216</v>
      </c>
    </row>
    <row r="23" ht="28" customHeight="1">
      <c r="A23" s="47" t="inlineStr">
        <is>
          <t xml:space="preserve">  ★★  ETSY SELLER FINANCE TRACKER</t>
        </is>
      </c>
    </row>
    <row r="24" ht="20" customHeight="1">
      <c r="A24" s="48" t="inlineStr">
        <is>
          <t>PRODUCT</t>
        </is>
      </c>
      <c r="B24" s="48" t="inlineStr">
        <is>
          <t>PRICE</t>
        </is>
      </c>
      <c r="C24" s="48" t="inlineStr">
        <is>
          <t>MONTHLY SALES</t>
        </is>
      </c>
      <c r="D24" s="48" t="inlineStr">
        <is>
          <t>GROSS REVENUE</t>
        </is>
      </c>
      <c r="E24" s="48" t="inlineStr">
        <is>
          <t>LISTING FEE</t>
        </is>
      </c>
      <c r="F24" s="48" t="inlineStr">
        <is>
          <t>TXN FEE (6.5%)</t>
        </is>
      </c>
      <c r="G24" s="48" t="inlineStr">
        <is>
          <t>PAYMENT FEE (3%)</t>
        </is>
      </c>
      <c r="H24" s="48" t="inlineStr">
        <is>
          <t>AD BUDGET</t>
        </is>
      </c>
      <c r="I24" s="48" t="inlineStr">
        <is>
          <t>DESIGN COST</t>
        </is>
      </c>
      <c r="J24" s="48" t="inlineStr">
        <is>
          <t>TOTAL COSTS</t>
        </is>
      </c>
      <c r="K24" s="48" t="inlineStr">
        <is>
          <t>NET PROFIT</t>
        </is>
      </c>
      <c r="L24" s="48" t="inlineStr">
        <is>
          <t>MARGIN</t>
        </is>
      </c>
    </row>
    <row r="25" ht="24" customHeight="1">
      <c r="A25" s="42" t="inlineStr">
        <is>
          <t>Etsy Seller Finance Tracker</t>
        </is>
      </c>
      <c r="B25" s="43" t="n">
        <v>14.99</v>
      </c>
      <c r="C25" s="44" t="n">
        <v>35</v>
      </c>
      <c r="D25" s="43" t="n">
        <v>524.65</v>
      </c>
      <c r="E25" s="43" t="n">
        <v>0.2</v>
      </c>
      <c r="F25" s="43" t="n">
        <v>34.10225</v>
      </c>
      <c r="G25" s="43" t="n">
        <v>15.7395</v>
      </c>
      <c r="H25" s="43" t="n">
        <v>40</v>
      </c>
      <c r="I25" s="43" t="n">
        <v>20</v>
      </c>
      <c r="J25" s="43" t="n">
        <v>110.04175</v>
      </c>
      <c r="K25" s="45" t="n">
        <v>414.60825</v>
      </c>
      <c r="L25" s="46" t="n">
        <v>79.0256837891928</v>
      </c>
    </row>
    <row r="26" ht="28" customHeight="1">
      <c r="A26" s="49" t="inlineStr">
        <is>
          <t xml:space="preserve">  ★★★  SOCIAL MEDIA CONTENT CALENDAR</t>
        </is>
      </c>
    </row>
    <row r="27" ht="20" customHeight="1">
      <c r="A27" s="50" t="inlineStr">
        <is>
          <t>PRODUCT</t>
        </is>
      </c>
      <c r="B27" s="50" t="inlineStr">
        <is>
          <t>PRICE</t>
        </is>
      </c>
      <c r="C27" s="50" t="inlineStr">
        <is>
          <t>MONTHLY SALES</t>
        </is>
      </c>
      <c r="D27" s="50" t="inlineStr">
        <is>
          <t>GROSS REVENUE</t>
        </is>
      </c>
      <c r="E27" s="50" t="inlineStr">
        <is>
          <t>LISTING FEE</t>
        </is>
      </c>
      <c r="F27" s="50" t="inlineStr">
        <is>
          <t>TXN FEE (6.5%)</t>
        </is>
      </c>
      <c r="G27" s="50" t="inlineStr">
        <is>
          <t>PAYMENT FEE (3%)</t>
        </is>
      </c>
      <c r="H27" s="50" t="inlineStr">
        <is>
          <t>AD BUDGET</t>
        </is>
      </c>
      <c r="I27" s="50" t="inlineStr">
        <is>
          <t>DESIGN COST</t>
        </is>
      </c>
      <c r="J27" s="50" t="inlineStr">
        <is>
          <t>TOTAL COSTS</t>
        </is>
      </c>
      <c r="K27" s="50" t="inlineStr">
        <is>
          <t>NET PROFIT</t>
        </is>
      </c>
      <c r="L27" s="50" t="inlineStr">
        <is>
          <t>MARGIN</t>
        </is>
      </c>
    </row>
    <row r="28" ht="24" customHeight="1">
      <c r="A28" s="42" t="inlineStr">
        <is>
          <t>Social Media Content Calendar</t>
        </is>
      </c>
      <c r="B28" s="43" t="n">
        <v>7.99</v>
      </c>
      <c r="C28" s="44" t="n">
        <v>55</v>
      </c>
      <c r="D28" s="43" t="n">
        <v>439.45</v>
      </c>
      <c r="E28" s="43" t="n">
        <v>0.2</v>
      </c>
      <c r="F28" s="43" t="n">
        <v>28.56425</v>
      </c>
      <c r="G28" s="43" t="n">
        <v>13.1835</v>
      </c>
      <c r="H28" s="43" t="n">
        <v>25</v>
      </c>
      <c r="I28" s="43" t="n">
        <v>10</v>
      </c>
      <c r="J28" s="43" t="n">
        <v>76.94775</v>
      </c>
      <c r="K28" s="45" t="n">
        <v>362.50225</v>
      </c>
      <c r="L28" s="46" t="n">
        <v>82.48998748435544</v>
      </c>
    </row>
    <row r="29" ht="28" customHeight="1">
      <c r="A29" s="51" t="inlineStr">
        <is>
          <t xml:space="preserve">  ★★★★  WEDDING PLANNING SPREADSHEET</t>
        </is>
      </c>
    </row>
    <row r="30" ht="20" customHeight="1">
      <c r="A30" s="52" t="inlineStr">
        <is>
          <t>PRODUCT</t>
        </is>
      </c>
      <c r="B30" s="52" t="inlineStr">
        <is>
          <t>PRICE</t>
        </is>
      </c>
      <c r="C30" s="52" t="inlineStr">
        <is>
          <t>MONTHLY SALES</t>
        </is>
      </c>
      <c r="D30" s="52" t="inlineStr">
        <is>
          <t>GROSS REVENUE</t>
        </is>
      </c>
      <c r="E30" s="52" t="inlineStr">
        <is>
          <t>LISTING FEE</t>
        </is>
      </c>
      <c r="F30" s="52" t="inlineStr">
        <is>
          <t>TXN FEE (6.5%)</t>
        </is>
      </c>
      <c r="G30" s="52" t="inlineStr">
        <is>
          <t>PAYMENT FEE (3%)</t>
        </is>
      </c>
      <c r="H30" s="52" t="inlineStr">
        <is>
          <t>AD BUDGET</t>
        </is>
      </c>
      <c r="I30" s="52" t="inlineStr">
        <is>
          <t>DESIGN COST</t>
        </is>
      </c>
      <c r="J30" s="52" t="inlineStr">
        <is>
          <t>TOTAL COSTS</t>
        </is>
      </c>
      <c r="K30" s="52" t="inlineStr">
        <is>
          <t>NET PROFIT</t>
        </is>
      </c>
      <c r="L30" s="52" t="inlineStr">
        <is>
          <t>MARGIN</t>
        </is>
      </c>
    </row>
    <row r="31" ht="24" customHeight="1">
      <c r="A31" s="42" t="inlineStr">
        <is>
          <t>Wedding Planning Spreadsheet</t>
        </is>
      </c>
      <c r="B31" s="43" t="n">
        <v>19.99</v>
      </c>
      <c r="C31" s="44" t="n">
        <v>25</v>
      </c>
      <c r="D31" s="43" t="n">
        <v>499.7499999999999</v>
      </c>
      <c r="E31" s="43" t="n">
        <v>0.2</v>
      </c>
      <c r="F31" s="43" t="n">
        <v>32.48375</v>
      </c>
      <c r="G31" s="43" t="n">
        <v>14.9925</v>
      </c>
      <c r="H31" s="43" t="n">
        <v>50</v>
      </c>
      <c r="I31" s="43" t="n">
        <v>25</v>
      </c>
      <c r="J31" s="43" t="n">
        <v>122.67625</v>
      </c>
      <c r="K31" s="45" t="n">
        <v>377.0737499999999</v>
      </c>
      <c r="L31" s="46" t="n">
        <v>75.45247623811905</v>
      </c>
    </row>
    <row r="32" ht="28" customHeight="1">
      <c r="A32" s="53" t="inlineStr">
        <is>
          <t xml:space="preserve">  ★★★★★  BUSINESS INVOICE TEMPLATE</t>
        </is>
      </c>
    </row>
    <row r="33" ht="20" customHeight="1">
      <c r="A33" s="54" t="inlineStr">
        <is>
          <t>PRODUCT</t>
        </is>
      </c>
      <c r="B33" s="54" t="inlineStr">
        <is>
          <t>PRICE</t>
        </is>
      </c>
      <c r="C33" s="54" t="inlineStr">
        <is>
          <t>MONTHLY SALES</t>
        </is>
      </c>
      <c r="D33" s="54" t="inlineStr">
        <is>
          <t>GROSS REVENUE</t>
        </is>
      </c>
      <c r="E33" s="54" t="inlineStr">
        <is>
          <t>LISTING FEE</t>
        </is>
      </c>
      <c r="F33" s="54" t="inlineStr">
        <is>
          <t>TXN FEE (6.5%)</t>
        </is>
      </c>
      <c r="G33" s="54" t="inlineStr">
        <is>
          <t>PAYMENT FEE (3%)</t>
        </is>
      </c>
      <c r="H33" s="54" t="inlineStr">
        <is>
          <t>AD BUDGET</t>
        </is>
      </c>
      <c r="I33" s="54" t="inlineStr">
        <is>
          <t>DESIGN COST</t>
        </is>
      </c>
      <c r="J33" s="54" t="inlineStr">
        <is>
          <t>TOTAL COSTS</t>
        </is>
      </c>
      <c r="K33" s="54" t="inlineStr">
        <is>
          <t>NET PROFIT</t>
        </is>
      </c>
      <c r="L33" s="54" t="inlineStr">
        <is>
          <t>MARGIN</t>
        </is>
      </c>
    </row>
    <row r="34" ht="24" customHeight="1">
      <c r="A34" s="42" t="inlineStr">
        <is>
          <t>Business Invoice Template</t>
        </is>
      </c>
      <c r="B34" s="43" t="n">
        <v>12.99</v>
      </c>
      <c r="C34" s="44" t="n">
        <v>40</v>
      </c>
      <c r="D34" s="43" t="n">
        <v>519.6</v>
      </c>
      <c r="E34" s="43" t="n">
        <v>0.2</v>
      </c>
      <c r="F34" s="43" t="n">
        <v>33.774</v>
      </c>
      <c r="G34" s="43" t="n">
        <v>15.588</v>
      </c>
      <c r="H34" s="43" t="n">
        <v>35</v>
      </c>
      <c r="I34" s="43" t="n">
        <v>18</v>
      </c>
      <c r="J34" s="43" t="n">
        <v>102.562</v>
      </c>
      <c r="K34" s="45" t="n">
        <v>417.038</v>
      </c>
      <c r="L34" s="46" t="n">
        <v>80.26135488837566</v>
      </c>
    </row>
    <row r="37" ht="28" customHeight="1">
      <c r="A37" s="55" t="inlineStr">
        <is>
          <t>ℹ  ETSY FEE STRUCTURE &amp; ASSUMPTIONS</t>
        </is>
      </c>
    </row>
    <row r="38" ht="20" customHeight="1">
      <c r="A38" s="56" t="inlineStr">
        <is>
          <t xml:space="preserve">  • Listing Fee</t>
        </is>
      </c>
      <c r="B38" s="57" t="inlineStr">
        <is>
          <t>$0.20 per listing (auto-renews monthly)</t>
        </is>
      </c>
    </row>
    <row r="39" ht="20" customHeight="1">
      <c r="A39" s="56" t="inlineStr">
        <is>
          <t xml:space="preserve">  • Transaction Fee</t>
        </is>
      </c>
      <c r="B39" s="57" t="inlineStr">
        <is>
          <t>6.5% of item price + shipping</t>
        </is>
      </c>
    </row>
    <row r="40" ht="20" customHeight="1">
      <c r="A40" s="56" t="inlineStr">
        <is>
          <t xml:space="preserve">  • Payment Processing</t>
        </is>
      </c>
      <c r="B40" s="57" t="inlineStr">
        <is>
          <t>3% of total payment</t>
        </is>
      </c>
    </row>
    <row r="41" ht="20" customHeight="1">
      <c r="A41" s="56" t="inlineStr">
        <is>
          <t xml:space="preserve">  • Offsite Ads (opt)</t>
        </is>
      </c>
      <c r="B41" s="57" t="inlineStr">
        <is>
          <t>15% of attributed sale (if &gt;$10K/yr)</t>
        </is>
      </c>
    </row>
    <row r="42" ht="20" customHeight="1">
      <c r="A42" s="56" t="inlineStr">
        <is>
          <t xml:space="preserve">  • Currency</t>
        </is>
      </c>
      <c r="B42" s="57" t="inlineStr">
        <is>
          <t>All figures in USD ($)</t>
        </is>
      </c>
    </row>
    <row r="43" ht="20" customHeight="1">
      <c r="A43" s="56" t="inlineStr">
        <is>
          <t xml:space="preserve">  • Data period</t>
        </is>
      </c>
      <c r="B43" s="57" t="inlineStr">
        <is>
          <t>Monthly averages — actual sales may vary seasonally</t>
        </is>
      </c>
    </row>
  </sheetData>
  <mergeCells count="17">
    <mergeCell ref="A20:L20"/>
    <mergeCell ref="A26:L26"/>
    <mergeCell ref="A2:L2"/>
    <mergeCell ref="B43:L43"/>
    <mergeCell ref="A29:L29"/>
    <mergeCell ref="A17"/>
    <mergeCell ref="B38:L38"/>
    <mergeCell ref="A19:L19"/>
    <mergeCell ref="B39:L39"/>
    <mergeCell ref="A1:L1"/>
    <mergeCell ref="A23:L23"/>
    <mergeCell ref="A32:L32"/>
    <mergeCell ref="A37:L37"/>
    <mergeCell ref="B42:L42"/>
    <mergeCell ref="A3:L3"/>
    <mergeCell ref="B40:L40"/>
    <mergeCell ref="B41:L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 ht="50" customHeight="1">
      <c r="A1" s="58" t="inlineStr">
        <is>
          <t xml:space="preserve">  MONTHLY BUDGET PLANNER  —  MONTHLY DETAIL</t>
        </is>
      </c>
    </row>
    <row r="2" ht="28" customHeight="1">
      <c r="A2" s="59" t="inlineStr">
        <is>
          <t xml:space="preserve">  Price: $9.99  |  Avg Monthly Sales: 45 units  |  Ad Budget: $30/mo  |  Design Cost: $15/mo</t>
        </is>
      </c>
    </row>
    <row r="3" ht="32" customHeight="1">
      <c r="A3" s="60" t="inlineStr">
        <is>
          <t>MONTH</t>
        </is>
      </c>
      <c r="B3" s="60" t="inlineStr">
        <is>
          <t>GROSS REVENUE</t>
        </is>
      </c>
      <c r="C3" s="60" t="inlineStr">
        <is>
          <t>LISTING FEE</t>
        </is>
      </c>
      <c r="D3" s="60" t="inlineStr">
        <is>
          <t>TXN FEE</t>
        </is>
      </c>
      <c r="E3" s="60" t="inlineStr">
        <is>
          <t>PAYMENT FEE</t>
        </is>
      </c>
      <c r="F3" s="60" t="inlineStr">
        <is>
          <t>AD SPEND</t>
        </is>
      </c>
      <c r="G3" s="60" t="inlineStr">
        <is>
          <t>DESIGN COST</t>
        </is>
      </c>
      <c r="H3" s="60" t="inlineStr">
        <is>
          <t>TOTAL COSTS</t>
        </is>
      </c>
      <c r="I3" s="60" t="inlineStr">
        <is>
          <t>NET PROFIT</t>
        </is>
      </c>
      <c r="J3" s="60" t="inlineStr">
        <is>
          <t>MARGIN %</t>
        </is>
      </c>
    </row>
    <row r="4" ht="22" customHeight="1">
      <c r="A4" s="61" t="inlineStr">
        <is>
          <t>January</t>
        </is>
      </c>
      <c r="B4" s="62" t="n">
        <v>379.62</v>
      </c>
      <c r="C4" s="62" t="n">
        <v>0.2</v>
      </c>
      <c r="D4" s="62" t="n">
        <v>24.6753</v>
      </c>
      <c r="E4" s="62" t="n">
        <v>11.3886</v>
      </c>
      <c r="F4" s="62" t="n">
        <v>30</v>
      </c>
      <c r="G4" s="62" t="n">
        <v>15</v>
      </c>
      <c r="H4" s="62" t="n">
        <v>81.26390000000001</v>
      </c>
      <c r="I4" s="17" t="n">
        <v>298.3561</v>
      </c>
      <c r="J4" s="19" t="n">
        <v>78.59335651440914</v>
      </c>
    </row>
    <row r="5" ht="22" customHeight="1">
      <c r="A5" s="63" t="inlineStr">
        <is>
          <t>February</t>
        </is>
      </c>
      <c r="B5" s="64" t="n">
        <v>359.64</v>
      </c>
      <c r="C5" s="64" t="n">
        <v>0.2</v>
      </c>
      <c r="D5" s="64" t="n">
        <v>23.3766</v>
      </c>
      <c r="E5" s="64" t="n">
        <v>10.7892</v>
      </c>
      <c r="F5" s="64" t="n">
        <v>30</v>
      </c>
      <c r="G5" s="64" t="n">
        <v>15</v>
      </c>
      <c r="H5" s="64" t="n">
        <v>79.36580000000001</v>
      </c>
      <c r="I5" s="21" t="n">
        <v>280.2742</v>
      </c>
      <c r="J5" s="23" t="n">
        <v>77.9318763207652</v>
      </c>
    </row>
    <row r="6" ht="22" customHeight="1">
      <c r="A6" s="65" t="inlineStr">
        <is>
          <t>March</t>
        </is>
      </c>
      <c r="B6" s="66" t="n">
        <v>399.6</v>
      </c>
      <c r="C6" s="66" t="n">
        <v>0.2</v>
      </c>
      <c r="D6" s="66" t="n">
        <v>25.974</v>
      </c>
      <c r="E6" s="66" t="n">
        <v>11.988</v>
      </c>
      <c r="F6" s="66" t="n">
        <v>30</v>
      </c>
      <c r="G6" s="66" t="n">
        <v>15</v>
      </c>
      <c r="H6" s="66" t="n">
        <v>83.16200000000001</v>
      </c>
      <c r="I6" s="25" t="n">
        <v>316.438</v>
      </c>
      <c r="J6" s="27" t="n">
        <v>79.18868868868869</v>
      </c>
    </row>
    <row r="7" ht="22" customHeight="1">
      <c r="A7" s="67" t="inlineStr">
        <is>
          <t>April</t>
        </is>
      </c>
      <c r="B7" s="68" t="n">
        <v>449.55</v>
      </c>
      <c r="C7" s="68" t="n">
        <v>0.2</v>
      </c>
      <c r="D7" s="68" t="n">
        <v>29.22075</v>
      </c>
      <c r="E7" s="68" t="n">
        <v>13.4865</v>
      </c>
      <c r="F7" s="68" t="n">
        <v>30</v>
      </c>
      <c r="G7" s="68" t="n">
        <v>15</v>
      </c>
      <c r="H7" s="68" t="n">
        <v>87.90725</v>
      </c>
      <c r="I7" s="29" t="n">
        <v>361.64275</v>
      </c>
      <c r="J7" s="31" t="n">
        <v>80.44550105661216</v>
      </c>
    </row>
    <row r="8" ht="22" customHeight="1">
      <c r="A8" s="69" t="inlineStr">
        <is>
          <t>May</t>
        </is>
      </c>
      <c r="B8" s="70" t="n">
        <v>469.53</v>
      </c>
      <c r="C8" s="70" t="n">
        <v>0.2</v>
      </c>
      <c r="D8" s="70" t="n">
        <v>30.51945</v>
      </c>
      <c r="E8" s="70" t="n">
        <v>14.0859</v>
      </c>
      <c r="F8" s="70" t="n">
        <v>30</v>
      </c>
      <c r="G8" s="70" t="n">
        <v>15</v>
      </c>
      <c r="H8" s="70" t="n">
        <v>89.80535</v>
      </c>
      <c r="I8" s="33" t="n">
        <v>379.72465</v>
      </c>
      <c r="J8" s="35" t="n">
        <v>80.87335207547973</v>
      </c>
    </row>
    <row r="9" ht="22" customHeight="1">
      <c r="A9" s="61" t="inlineStr">
        <is>
          <t>June</t>
        </is>
      </c>
      <c r="B9" s="62" t="n">
        <v>499.5</v>
      </c>
      <c r="C9" s="62" t="n">
        <v>0.2</v>
      </c>
      <c r="D9" s="62" t="n">
        <v>32.4675</v>
      </c>
      <c r="E9" s="62" t="n">
        <v>14.985</v>
      </c>
      <c r="F9" s="62" t="n">
        <v>30</v>
      </c>
      <c r="G9" s="62" t="n">
        <v>15</v>
      </c>
      <c r="H9" s="62" t="n">
        <v>92.6525</v>
      </c>
      <c r="I9" s="17" t="n">
        <v>406.8475</v>
      </c>
      <c r="J9" s="19" t="n">
        <v>81.45095095095094</v>
      </c>
    </row>
    <row r="10" ht="22" customHeight="1">
      <c r="A10" s="63" t="inlineStr">
        <is>
          <t>July</t>
        </is>
      </c>
      <c r="B10" s="64" t="n">
        <v>429.57</v>
      </c>
      <c r="C10" s="64" t="n">
        <v>0.2</v>
      </c>
      <c r="D10" s="64" t="n">
        <v>27.92205</v>
      </c>
      <c r="E10" s="64" t="n">
        <v>12.8871</v>
      </c>
      <c r="F10" s="64" t="n">
        <v>30</v>
      </c>
      <c r="G10" s="64" t="n">
        <v>15</v>
      </c>
      <c r="H10" s="64" t="n">
        <v>86.00915000000001</v>
      </c>
      <c r="I10" s="21" t="n">
        <v>343.56085</v>
      </c>
      <c r="J10" s="23" t="n">
        <v>79.97784994296622</v>
      </c>
    </row>
    <row r="11" ht="22" customHeight="1">
      <c r="A11" s="65" t="inlineStr">
        <is>
          <t>August</t>
        </is>
      </c>
      <c r="B11" s="66" t="n">
        <v>449.55</v>
      </c>
      <c r="C11" s="66" t="n">
        <v>0.2</v>
      </c>
      <c r="D11" s="66" t="n">
        <v>29.22075</v>
      </c>
      <c r="E11" s="66" t="n">
        <v>13.4865</v>
      </c>
      <c r="F11" s="66" t="n">
        <v>30</v>
      </c>
      <c r="G11" s="66" t="n">
        <v>15</v>
      </c>
      <c r="H11" s="66" t="n">
        <v>87.90725</v>
      </c>
      <c r="I11" s="25" t="n">
        <v>361.64275</v>
      </c>
      <c r="J11" s="27" t="n">
        <v>80.44550105661216</v>
      </c>
    </row>
    <row r="12" ht="22" customHeight="1">
      <c r="A12" s="67" t="inlineStr">
        <is>
          <t>September</t>
        </is>
      </c>
      <c r="B12" s="68" t="n">
        <v>499.5</v>
      </c>
      <c r="C12" s="68" t="n">
        <v>0.2</v>
      </c>
      <c r="D12" s="68" t="n">
        <v>32.4675</v>
      </c>
      <c r="E12" s="68" t="n">
        <v>14.985</v>
      </c>
      <c r="F12" s="68" t="n">
        <v>30</v>
      </c>
      <c r="G12" s="68" t="n">
        <v>15</v>
      </c>
      <c r="H12" s="68" t="n">
        <v>92.6525</v>
      </c>
      <c r="I12" s="29" t="n">
        <v>406.8475</v>
      </c>
      <c r="J12" s="31" t="n">
        <v>81.45095095095094</v>
      </c>
    </row>
    <row r="13" ht="22" customHeight="1">
      <c r="A13" s="69" t="inlineStr">
        <is>
          <t>October</t>
        </is>
      </c>
      <c r="B13" s="70" t="n">
        <v>539.46</v>
      </c>
      <c r="C13" s="70" t="n">
        <v>0.2</v>
      </c>
      <c r="D13" s="70" t="n">
        <v>35.0649</v>
      </c>
      <c r="E13" s="70" t="n">
        <v>16.1838</v>
      </c>
      <c r="F13" s="70" t="n">
        <v>30</v>
      </c>
      <c r="G13" s="70" t="n">
        <v>15</v>
      </c>
      <c r="H13" s="70" t="n">
        <v>96.4487</v>
      </c>
      <c r="I13" s="33" t="n">
        <v>443.0113</v>
      </c>
      <c r="J13" s="35" t="n">
        <v>82.12125088051013</v>
      </c>
    </row>
    <row r="14" ht="22" customHeight="1">
      <c r="A14" s="61" t="inlineStr">
        <is>
          <t>November</t>
        </is>
      </c>
      <c r="B14" s="62" t="n">
        <v>579.42</v>
      </c>
      <c r="C14" s="62" t="n">
        <v>0.2</v>
      </c>
      <c r="D14" s="62" t="n">
        <v>37.6623</v>
      </c>
      <c r="E14" s="62" t="n">
        <v>17.3826</v>
      </c>
      <c r="F14" s="62" t="n">
        <v>30</v>
      </c>
      <c r="G14" s="62" t="n">
        <v>15</v>
      </c>
      <c r="H14" s="62" t="n">
        <v>100.2449</v>
      </c>
      <c r="I14" s="17" t="n">
        <v>479.1750999999999</v>
      </c>
      <c r="J14" s="19" t="n">
        <v>82.69909564737151</v>
      </c>
    </row>
    <row r="15" ht="22" customHeight="1">
      <c r="A15" s="63" t="inlineStr">
        <is>
          <t>December</t>
        </is>
      </c>
      <c r="B15" s="64" t="n">
        <v>629.37</v>
      </c>
      <c r="C15" s="64" t="n">
        <v>0.2</v>
      </c>
      <c r="D15" s="64" t="n">
        <v>40.90905</v>
      </c>
      <c r="E15" s="64" t="n">
        <v>18.8811</v>
      </c>
      <c r="F15" s="64" t="n">
        <v>30</v>
      </c>
      <c r="G15" s="64" t="n">
        <v>15</v>
      </c>
      <c r="H15" s="64" t="n">
        <v>104.99015</v>
      </c>
      <c r="I15" s="21" t="n">
        <v>524.37985</v>
      </c>
      <c r="J15" s="23" t="n">
        <v>83.31821504043727</v>
      </c>
    </row>
    <row r="16" ht="28" customHeight="1">
      <c r="A16" s="71" t="inlineStr">
        <is>
          <t>ANNUAL TOTAL</t>
        </is>
      </c>
      <c r="B16" s="72">
        <f>SUM(B4:B15)</f>
        <v/>
      </c>
      <c r="C16" s="72">
        <f>SUM(C4:C15)</f>
        <v/>
      </c>
      <c r="D16" s="72">
        <f>SUM(D4:D15)</f>
        <v/>
      </c>
      <c r="E16" s="72">
        <f>SUM(E4:E15)</f>
        <v/>
      </c>
      <c r="F16" s="72">
        <f>SUM(F4:F15)</f>
        <v/>
      </c>
      <c r="G16" s="72">
        <f>SUM(G4:G15)</f>
        <v/>
      </c>
      <c r="H16" s="72">
        <f>SUM(H4:H15)</f>
        <v/>
      </c>
      <c r="I16" s="72">
        <f>SUM(I4:I15)</f>
        <v/>
      </c>
      <c r="J16" s="73">
        <f>SUM(J4:J15)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 ht="50" customHeight="1">
      <c r="A1" s="74" t="inlineStr">
        <is>
          <t xml:space="preserve">  ETSY SELLER FINANCE TRACKER  —  MONTHLY DETAIL</t>
        </is>
      </c>
    </row>
    <row r="2" ht="28" customHeight="1">
      <c r="A2" s="75" t="inlineStr">
        <is>
          <t xml:space="preserve">  Price: $14.99  |  Avg Monthly Sales: 35 units  |  Ad Budget: $40/mo  |  Design Cost: $20/mo</t>
        </is>
      </c>
    </row>
    <row r="3" ht="32" customHeight="1">
      <c r="A3" s="76" t="inlineStr">
        <is>
          <t>MONTH</t>
        </is>
      </c>
      <c r="B3" s="76" t="inlineStr">
        <is>
          <t>GROSS REVENUE</t>
        </is>
      </c>
      <c r="C3" s="76" t="inlineStr">
        <is>
          <t>LISTING FEE</t>
        </is>
      </c>
      <c r="D3" s="76" t="inlineStr">
        <is>
          <t>TXN FEE</t>
        </is>
      </c>
      <c r="E3" s="76" t="inlineStr">
        <is>
          <t>PAYMENT FEE</t>
        </is>
      </c>
      <c r="F3" s="76" t="inlineStr">
        <is>
          <t>AD SPEND</t>
        </is>
      </c>
      <c r="G3" s="76" t="inlineStr">
        <is>
          <t>DESIGN COST</t>
        </is>
      </c>
      <c r="H3" s="76" t="inlineStr">
        <is>
          <t>TOTAL COSTS</t>
        </is>
      </c>
      <c r="I3" s="76" t="inlineStr">
        <is>
          <t>NET PROFIT</t>
        </is>
      </c>
      <c r="J3" s="76" t="inlineStr">
        <is>
          <t>MARGIN %</t>
        </is>
      </c>
    </row>
    <row r="4" ht="22" customHeight="1">
      <c r="A4" s="61" t="inlineStr">
        <is>
          <t>January</t>
        </is>
      </c>
      <c r="B4" s="62" t="n">
        <v>449.7</v>
      </c>
      <c r="C4" s="62" t="n">
        <v>0.2</v>
      </c>
      <c r="D4" s="62" t="n">
        <v>29.2305</v>
      </c>
      <c r="E4" s="62" t="n">
        <v>13.491</v>
      </c>
      <c r="F4" s="62" t="n">
        <v>40</v>
      </c>
      <c r="G4" s="62" t="n">
        <v>20</v>
      </c>
      <c r="H4" s="62" t="n">
        <v>102.9215</v>
      </c>
      <c r="I4" s="17" t="n">
        <v>346.7785</v>
      </c>
      <c r="J4" s="19" t="n">
        <v>77.11329775405827</v>
      </c>
    </row>
    <row r="5" ht="22" customHeight="1">
      <c r="A5" s="63" t="inlineStr">
        <is>
          <t>February</t>
        </is>
      </c>
      <c r="B5" s="64" t="n">
        <v>419.72</v>
      </c>
      <c r="C5" s="64" t="n">
        <v>0.2</v>
      </c>
      <c r="D5" s="64" t="n">
        <v>27.2818</v>
      </c>
      <c r="E5" s="64" t="n">
        <v>12.5916</v>
      </c>
      <c r="F5" s="64" t="n">
        <v>40</v>
      </c>
      <c r="G5" s="64" t="n">
        <v>20</v>
      </c>
      <c r="H5" s="64" t="n">
        <v>100.0734</v>
      </c>
      <c r="I5" s="21" t="n">
        <v>319.6466</v>
      </c>
      <c r="J5" s="23" t="n">
        <v>76.15710473649099</v>
      </c>
    </row>
    <row r="6" ht="22" customHeight="1">
      <c r="A6" s="65" t="inlineStr">
        <is>
          <t>March</t>
        </is>
      </c>
      <c r="B6" s="66" t="n">
        <v>479.68</v>
      </c>
      <c r="C6" s="66" t="n">
        <v>0.2</v>
      </c>
      <c r="D6" s="66" t="n">
        <v>31.1792</v>
      </c>
      <c r="E6" s="66" t="n">
        <v>14.3904</v>
      </c>
      <c r="F6" s="66" t="n">
        <v>40</v>
      </c>
      <c r="G6" s="66" t="n">
        <v>20</v>
      </c>
      <c r="H6" s="66" t="n">
        <v>105.7696</v>
      </c>
      <c r="I6" s="25" t="n">
        <v>373.9104</v>
      </c>
      <c r="J6" s="27" t="n">
        <v>77.94996664442961</v>
      </c>
    </row>
    <row r="7" ht="22" customHeight="1">
      <c r="A7" s="67" t="inlineStr">
        <is>
          <t>April</t>
        </is>
      </c>
      <c r="B7" s="68" t="n">
        <v>524.65</v>
      </c>
      <c r="C7" s="68" t="n">
        <v>0.2</v>
      </c>
      <c r="D7" s="68" t="n">
        <v>34.10225</v>
      </c>
      <c r="E7" s="68" t="n">
        <v>15.7395</v>
      </c>
      <c r="F7" s="68" t="n">
        <v>40</v>
      </c>
      <c r="G7" s="68" t="n">
        <v>20</v>
      </c>
      <c r="H7" s="68" t="n">
        <v>110.04175</v>
      </c>
      <c r="I7" s="29" t="n">
        <v>414.60825</v>
      </c>
      <c r="J7" s="31" t="n">
        <v>79.0256837891928</v>
      </c>
    </row>
    <row r="8" ht="22" customHeight="1">
      <c r="A8" s="69" t="inlineStr">
        <is>
          <t>May</t>
        </is>
      </c>
      <c r="B8" s="70" t="n">
        <v>554.63</v>
      </c>
      <c r="C8" s="70" t="n">
        <v>0.2</v>
      </c>
      <c r="D8" s="70" t="n">
        <v>36.05095</v>
      </c>
      <c r="E8" s="70" t="n">
        <v>16.6389</v>
      </c>
      <c r="F8" s="70" t="n">
        <v>40</v>
      </c>
      <c r="G8" s="70" t="n">
        <v>20</v>
      </c>
      <c r="H8" s="70" t="n">
        <v>112.88985</v>
      </c>
      <c r="I8" s="33" t="n">
        <v>441.74015</v>
      </c>
      <c r="J8" s="35" t="n">
        <v>79.64591709788508</v>
      </c>
    </row>
    <row r="9" ht="22" customHeight="1">
      <c r="A9" s="61" t="inlineStr">
        <is>
          <t>June</t>
        </is>
      </c>
      <c r="B9" s="62" t="n">
        <v>569.62</v>
      </c>
      <c r="C9" s="62" t="n">
        <v>0.2</v>
      </c>
      <c r="D9" s="62" t="n">
        <v>37.0253</v>
      </c>
      <c r="E9" s="62" t="n">
        <v>17.0886</v>
      </c>
      <c r="F9" s="62" t="n">
        <v>40</v>
      </c>
      <c r="G9" s="62" t="n">
        <v>20</v>
      </c>
      <c r="H9" s="62" t="n">
        <v>114.3139</v>
      </c>
      <c r="I9" s="17" t="n">
        <v>455.3061</v>
      </c>
      <c r="J9" s="19" t="n">
        <v>79.93155085846705</v>
      </c>
    </row>
    <row r="10" ht="22" customHeight="1">
      <c r="A10" s="63" t="inlineStr">
        <is>
          <t>July</t>
        </is>
      </c>
      <c r="B10" s="64" t="n">
        <v>494.67</v>
      </c>
      <c r="C10" s="64" t="n">
        <v>0.2</v>
      </c>
      <c r="D10" s="64" t="n">
        <v>32.15355</v>
      </c>
      <c r="E10" s="64" t="n">
        <v>14.8401</v>
      </c>
      <c r="F10" s="64" t="n">
        <v>40</v>
      </c>
      <c r="G10" s="64" t="n">
        <v>20</v>
      </c>
      <c r="H10" s="64" t="n">
        <v>107.19365</v>
      </c>
      <c r="I10" s="21" t="n">
        <v>387.47635</v>
      </c>
      <c r="J10" s="23" t="n">
        <v>78.33027068550751</v>
      </c>
    </row>
    <row r="11" ht="22" customHeight="1">
      <c r="A11" s="65" t="inlineStr">
        <is>
          <t>August</t>
        </is>
      </c>
      <c r="B11" s="66" t="n">
        <v>524.65</v>
      </c>
      <c r="C11" s="66" t="n">
        <v>0.2</v>
      </c>
      <c r="D11" s="66" t="n">
        <v>34.10225</v>
      </c>
      <c r="E11" s="66" t="n">
        <v>15.7395</v>
      </c>
      <c r="F11" s="66" t="n">
        <v>40</v>
      </c>
      <c r="G11" s="66" t="n">
        <v>20</v>
      </c>
      <c r="H11" s="66" t="n">
        <v>110.04175</v>
      </c>
      <c r="I11" s="25" t="n">
        <v>414.60825</v>
      </c>
      <c r="J11" s="27" t="n">
        <v>79.0256837891928</v>
      </c>
    </row>
    <row r="12" ht="22" customHeight="1">
      <c r="A12" s="67" t="inlineStr">
        <is>
          <t>September</t>
        </is>
      </c>
      <c r="B12" s="68" t="n">
        <v>569.62</v>
      </c>
      <c r="C12" s="68" t="n">
        <v>0.2</v>
      </c>
      <c r="D12" s="68" t="n">
        <v>37.0253</v>
      </c>
      <c r="E12" s="68" t="n">
        <v>17.0886</v>
      </c>
      <c r="F12" s="68" t="n">
        <v>40</v>
      </c>
      <c r="G12" s="68" t="n">
        <v>20</v>
      </c>
      <c r="H12" s="68" t="n">
        <v>114.3139</v>
      </c>
      <c r="I12" s="29" t="n">
        <v>455.3061</v>
      </c>
      <c r="J12" s="31" t="n">
        <v>79.93155085846705</v>
      </c>
    </row>
    <row r="13" ht="22" customHeight="1">
      <c r="A13" s="69" t="inlineStr">
        <is>
          <t>October</t>
        </is>
      </c>
      <c r="B13" s="70" t="n">
        <v>629.58</v>
      </c>
      <c r="C13" s="70" t="n">
        <v>0.2</v>
      </c>
      <c r="D13" s="70" t="n">
        <v>40.92270000000001</v>
      </c>
      <c r="E13" s="70" t="n">
        <v>18.8874</v>
      </c>
      <c r="F13" s="70" t="n">
        <v>40</v>
      </c>
      <c r="G13" s="70" t="n">
        <v>20</v>
      </c>
      <c r="H13" s="70" t="n">
        <v>120.0101</v>
      </c>
      <c r="I13" s="33" t="n">
        <v>509.5699</v>
      </c>
      <c r="J13" s="35" t="n">
        <v>80.93806982432733</v>
      </c>
    </row>
    <row r="14" ht="22" customHeight="1">
      <c r="A14" s="61" t="inlineStr">
        <is>
          <t>November</t>
        </is>
      </c>
      <c r="B14" s="62" t="n">
        <v>689.54</v>
      </c>
      <c r="C14" s="62" t="n">
        <v>0.2</v>
      </c>
      <c r="D14" s="62" t="n">
        <v>44.8201</v>
      </c>
      <c r="E14" s="62" t="n">
        <v>20.6862</v>
      </c>
      <c r="F14" s="62" t="n">
        <v>40</v>
      </c>
      <c r="G14" s="62" t="n">
        <v>20</v>
      </c>
      <c r="H14" s="62" t="n">
        <v>125.7063</v>
      </c>
      <c r="I14" s="17" t="n">
        <v>563.8336999999999</v>
      </c>
      <c r="J14" s="19" t="n">
        <v>81.76954201351624</v>
      </c>
    </row>
    <row r="15" ht="22" customHeight="1">
      <c r="A15" s="63" t="inlineStr">
        <is>
          <t>December</t>
        </is>
      </c>
      <c r="B15" s="64" t="n">
        <v>734.51</v>
      </c>
      <c r="C15" s="64" t="n">
        <v>0.2</v>
      </c>
      <c r="D15" s="64" t="n">
        <v>47.74315</v>
      </c>
      <c r="E15" s="64" t="n">
        <v>22.0353</v>
      </c>
      <c r="F15" s="64" t="n">
        <v>40</v>
      </c>
      <c r="G15" s="64" t="n">
        <v>20</v>
      </c>
      <c r="H15" s="64" t="n">
        <v>129.97845</v>
      </c>
      <c r="I15" s="21" t="n">
        <v>604.5315499999999</v>
      </c>
      <c r="J15" s="23" t="n">
        <v>82.30405984942341</v>
      </c>
    </row>
    <row r="16" ht="28" customHeight="1">
      <c r="A16" s="77" t="inlineStr">
        <is>
          <t>ANNUAL TOTAL</t>
        </is>
      </c>
      <c r="B16" s="78">
        <f>SUM(B4:B15)</f>
        <v/>
      </c>
      <c r="C16" s="78">
        <f>SUM(C4:C15)</f>
        <v/>
      </c>
      <c r="D16" s="78">
        <f>SUM(D4:D15)</f>
        <v/>
      </c>
      <c r="E16" s="78">
        <f>SUM(E4:E15)</f>
        <v/>
      </c>
      <c r="F16" s="78">
        <f>SUM(F4:F15)</f>
        <v/>
      </c>
      <c r="G16" s="78">
        <f>SUM(G4:G15)</f>
        <v/>
      </c>
      <c r="H16" s="78">
        <f>SUM(H4:H15)</f>
        <v/>
      </c>
      <c r="I16" s="78">
        <f>SUM(I4:I15)</f>
        <v/>
      </c>
      <c r="J16" s="79">
        <f>SUM(J4:J15)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 ht="50" customHeight="1">
      <c r="A1" s="80" t="inlineStr">
        <is>
          <t xml:space="preserve">  SOCIAL MEDIA CONTENT CALENDAR  —  MONTHLY DETAIL</t>
        </is>
      </c>
    </row>
    <row r="2" ht="28" customHeight="1">
      <c r="A2" s="81" t="inlineStr">
        <is>
          <t xml:space="preserve">  Price: $7.99  |  Avg Monthly Sales: 55 units  |  Ad Budget: $25/mo  |  Design Cost: $10/mo</t>
        </is>
      </c>
    </row>
    <row r="3" ht="32" customHeight="1">
      <c r="A3" s="82" t="inlineStr">
        <is>
          <t>MONTH</t>
        </is>
      </c>
      <c r="B3" s="82" t="inlineStr">
        <is>
          <t>GROSS REVENUE</t>
        </is>
      </c>
      <c r="C3" s="82" t="inlineStr">
        <is>
          <t>LISTING FEE</t>
        </is>
      </c>
      <c r="D3" s="82" t="inlineStr">
        <is>
          <t>TXN FEE</t>
        </is>
      </c>
      <c r="E3" s="82" t="inlineStr">
        <is>
          <t>PAYMENT FEE</t>
        </is>
      </c>
      <c r="F3" s="82" t="inlineStr">
        <is>
          <t>AD SPEND</t>
        </is>
      </c>
      <c r="G3" s="82" t="inlineStr">
        <is>
          <t>DESIGN COST</t>
        </is>
      </c>
      <c r="H3" s="82" t="inlineStr">
        <is>
          <t>TOTAL COSTS</t>
        </is>
      </c>
      <c r="I3" s="82" t="inlineStr">
        <is>
          <t>NET PROFIT</t>
        </is>
      </c>
      <c r="J3" s="82" t="inlineStr">
        <is>
          <t>MARGIN %</t>
        </is>
      </c>
    </row>
    <row r="4" ht="22" customHeight="1">
      <c r="A4" s="61" t="inlineStr">
        <is>
          <t>January</t>
        </is>
      </c>
      <c r="B4" s="62" t="n">
        <v>375.53</v>
      </c>
      <c r="C4" s="62" t="n">
        <v>0.2</v>
      </c>
      <c r="D4" s="62" t="n">
        <v>24.40945</v>
      </c>
      <c r="E4" s="62" t="n">
        <v>11.2659</v>
      </c>
      <c r="F4" s="62" t="n">
        <v>25</v>
      </c>
      <c r="G4" s="62" t="n">
        <v>10</v>
      </c>
      <c r="H4" s="62" t="n">
        <v>70.87535</v>
      </c>
      <c r="I4" s="17" t="n">
        <v>304.6546500000001</v>
      </c>
      <c r="J4" s="19" t="n">
        <v>81.12658109871383</v>
      </c>
    </row>
    <row r="5" ht="22" customHeight="1">
      <c r="A5" s="63" t="inlineStr">
        <is>
          <t>February</t>
        </is>
      </c>
      <c r="B5" s="64" t="n">
        <v>351.56</v>
      </c>
      <c r="C5" s="64" t="n">
        <v>0.2</v>
      </c>
      <c r="D5" s="64" t="n">
        <v>22.8514</v>
      </c>
      <c r="E5" s="64" t="n">
        <v>10.5468</v>
      </c>
      <c r="F5" s="64" t="n">
        <v>25</v>
      </c>
      <c r="G5" s="64" t="n">
        <v>10</v>
      </c>
      <c r="H5" s="64" t="n">
        <v>68.59819999999999</v>
      </c>
      <c r="I5" s="21" t="n">
        <v>282.9618</v>
      </c>
      <c r="J5" s="23" t="n">
        <v>80.48748435544432</v>
      </c>
    </row>
    <row r="6" ht="22" customHeight="1">
      <c r="A6" s="65" t="inlineStr">
        <is>
          <t>March</t>
        </is>
      </c>
      <c r="B6" s="66" t="n">
        <v>399.5</v>
      </c>
      <c r="C6" s="66" t="n">
        <v>0.2</v>
      </c>
      <c r="D6" s="66" t="n">
        <v>25.9675</v>
      </c>
      <c r="E6" s="66" t="n">
        <v>11.985</v>
      </c>
      <c r="F6" s="66" t="n">
        <v>25</v>
      </c>
      <c r="G6" s="66" t="n">
        <v>10</v>
      </c>
      <c r="H6" s="66" t="n">
        <v>73.1525</v>
      </c>
      <c r="I6" s="25" t="n">
        <v>326.3475</v>
      </c>
      <c r="J6" s="27" t="n">
        <v>81.68898623279098</v>
      </c>
    </row>
    <row r="7" ht="22" customHeight="1">
      <c r="A7" s="67" t="inlineStr">
        <is>
          <t>April</t>
        </is>
      </c>
      <c r="B7" s="68" t="n">
        <v>439.45</v>
      </c>
      <c r="C7" s="68" t="n">
        <v>0.2</v>
      </c>
      <c r="D7" s="68" t="n">
        <v>28.56425</v>
      </c>
      <c r="E7" s="68" t="n">
        <v>13.1835</v>
      </c>
      <c r="F7" s="68" t="n">
        <v>25</v>
      </c>
      <c r="G7" s="68" t="n">
        <v>10</v>
      </c>
      <c r="H7" s="68" t="n">
        <v>76.94775</v>
      </c>
      <c r="I7" s="29" t="n">
        <v>362.50225</v>
      </c>
      <c r="J7" s="31" t="n">
        <v>82.48998748435544</v>
      </c>
    </row>
    <row r="8" ht="22" customHeight="1">
      <c r="A8" s="69" t="inlineStr">
        <is>
          <t>May</t>
        </is>
      </c>
      <c r="B8" s="70" t="n">
        <v>463.42</v>
      </c>
      <c r="C8" s="70" t="n">
        <v>0.2</v>
      </c>
      <c r="D8" s="70" t="n">
        <v>30.1223</v>
      </c>
      <c r="E8" s="70" t="n">
        <v>13.9026</v>
      </c>
      <c r="F8" s="70" t="n">
        <v>25</v>
      </c>
      <c r="G8" s="70" t="n">
        <v>10</v>
      </c>
      <c r="H8" s="70" t="n">
        <v>79.22490000000001</v>
      </c>
      <c r="I8" s="33" t="n">
        <v>384.1951</v>
      </c>
      <c r="J8" s="35" t="n">
        <v>82.90429847654396</v>
      </c>
    </row>
    <row r="9" ht="22" customHeight="1">
      <c r="A9" s="61" t="inlineStr">
        <is>
          <t>June</t>
        </is>
      </c>
      <c r="B9" s="62" t="n">
        <v>487.39</v>
      </c>
      <c r="C9" s="62" t="n">
        <v>0.2</v>
      </c>
      <c r="D9" s="62" t="n">
        <v>31.68035</v>
      </c>
      <c r="E9" s="62" t="n">
        <v>14.6217</v>
      </c>
      <c r="F9" s="62" t="n">
        <v>25</v>
      </c>
      <c r="G9" s="62" t="n">
        <v>10</v>
      </c>
      <c r="H9" s="62" t="n">
        <v>81.50205</v>
      </c>
      <c r="I9" s="17" t="n">
        <v>405.88795</v>
      </c>
      <c r="J9" s="19" t="n">
        <v>83.27785756786147</v>
      </c>
    </row>
    <row r="10" ht="22" customHeight="1">
      <c r="A10" s="63" t="inlineStr">
        <is>
          <t>July</t>
        </is>
      </c>
      <c r="B10" s="64" t="n">
        <v>415.48</v>
      </c>
      <c r="C10" s="64" t="n">
        <v>0.2</v>
      </c>
      <c r="D10" s="64" t="n">
        <v>27.0062</v>
      </c>
      <c r="E10" s="64" t="n">
        <v>12.4644</v>
      </c>
      <c r="F10" s="64" t="n">
        <v>25</v>
      </c>
      <c r="G10" s="64" t="n">
        <v>10</v>
      </c>
      <c r="H10" s="64" t="n">
        <v>74.67060000000001</v>
      </c>
      <c r="I10" s="21" t="n">
        <v>340.8094</v>
      </c>
      <c r="J10" s="23" t="n">
        <v>82.02787137768364</v>
      </c>
    </row>
    <row r="11" ht="22" customHeight="1">
      <c r="A11" s="65" t="inlineStr">
        <is>
          <t>August</t>
        </is>
      </c>
      <c r="B11" s="66" t="n">
        <v>439.45</v>
      </c>
      <c r="C11" s="66" t="n">
        <v>0.2</v>
      </c>
      <c r="D11" s="66" t="n">
        <v>28.56425</v>
      </c>
      <c r="E11" s="66" t="n">
        <v>13.1835</v>
      </c>
      <c r="F11" s="66" t="n">
        <v>25</v>
      </c>
      <c r="G11" s="66" t="n">
        <v>10</v>
      </c>
      <c r="H11" s="66" t="n">
        <v>76.94775</v>
      </c>
      <c r="I11" s="25" t="n">
        <v>362.50225</v>
      </c>
      <c r="J11" s="27" t="n">
        <v>82.48998748435544</v>
      </c>
    </row>
    <row r="12" ht="22" customHeight="1">
      <c r="A12" s="67" t="inlineStr">
        <is>
          <t>September</t>
        </is>
      </c>
      <c r="B12" s="68" t="n">
        <v>487.39</v>
      </c>
      <c r="C12" s="68" t="n">
        <v>0.2</v>
      </c>
      <c r="D12" s="68" t="n">
        <v>31.68035</v>
      </c>
      <c r="E12" s="68" t="n">
        <v>14.6217</v>
      </c>
      <c r="F12" s="68" t="n">
        <v>25</v>
      </c>
      <c r="G12" s="68" t="n">
        <v>10</v>
      </c>
      <c r="H12" s="68" t="n">
        <v>81.50205</v>
      </c>
      <c r="I12" s="29" t="n">
        <v>405.88795</v>
      </c>
      <c r="J12" s="31" t="n">
        <v>83.27785756786147</v>
      </c>
    </row>
    <row r="13" ht="22" customHeight="1">
      <c r="A13" s="69" t="inlineStr">
        <is>
          <t>October</t>
        </is>
      </c>
      <c r="B13" s="70" t="n">
        <v>527.34</v>
      </c>
      <c r="C13" s="70" t="n">
        <v>0.2</v>
      </c>
      <c r="D13" s="70" t="n">
        <v>34.2771</v>
      </c>
      <c r="E13" s="70" t="n">
        <v>15.8202</v>
      </c>
      <c r="F13" s="70" t="n">
        <v>25</v>
      </c>
      <c r="G13" s="70" t="n">
        <v>10</v>
      </c>
      <c r="H13" s="70" t="n">
        <v>85.29730000000001</v>
      </c>
      <c r="I13" s="33" t="n">
        <v>442.0427</v>
      </c>
      <c r="J13" s="35" t="n">
        <v>83.82498957029621</v>
      </c>
    </row>
    <row r="14" ht="22" customHeight="1">
      <c r="A14" s="61" t="inlineStr">
        <is>
          <t>November</t>
        </is>
      </c>
      <c r="B14" s="62" t="n">
        <v>575.28</v>
      </c>
      <c r="C14" s="62" t="n">
        <v>0.2</v>
      </c>
      <c r="D14" s="62" t="n">
        <v>37.3932</v>
      </c>
      <c r="E14" s="62" t="n">
        <v>17.2584</v>
      </c>
      <c r="F14" s="62" t="n">
        <v>25</v>
      </c>
      <c r="G14" s="62" t="n">
        <v>10</v>
      </c>
      <c r="H14" s="62" t="n">
        <v>89.8516</v>
      </c>
      <c r="I14" s="17" t="n">
        <v>485.4284</v>
      </c>
      <c r="J14" s="19" t="n">
        <v>84.38124043943819</v>
      </c>
    </row>
    <row r="15" ht="22" customHeight="1">
      <c r="A15" s="63" t="inlineStr">
        <is>
          <t>December</t>
        </is>
      </c>
      <c r="B15" s="64" t="n">
        <v>615.23</v>
      </c>
      <c r="C15" s="64" t="n">
        <v>0.2</v>
      </c>
      <c r="D15" s="64" t="n">
        <v>39.98995</v>
      </c>
      <c r="E15" s="64" t="n">
        <v>18.4569</v>
      </c>
      <c r="F15" s="64" t="n">
        <v>25</v>
      </c>
      <c r="G15" s="64" t="n">
        <v>10</v>
      </c>
      <c r="H15" s="64" t="n">
        <v>93.64685</v>
      </c>
      <c r="I15" s="21" t="n">
        <v>521.58315</v>
      </c>
      <c r="J15" s="23" t="n">
        <v>84.77856248882533</v>
      </c>
    </row>
    <row r="16" ht="28" customHeight="1">
      <c r="A16" s="83" t="inlineStr">
        <is>
          <t>ANNUAL TOTAL</t>
        </is>
      </c>
      <c r="B16" s="84">
        <f>SUM(B4:B15)</f>
        <v/>
      </c>
      <c r="C16" s="84">
        <f>SUM(C4:C15)</f>
        <v/>
      </c>
      <c r="D16" s="84">
        <f>SUM(D4:D15)</f>
        <v/>
      </c>
      <c r="E16" s="84">
        <f>SUM(E4:E15)</f>
        <v/>
      </c>
      <c r="F16" s="84">
        <f>SUM(F4:F15)</f>
        <v/>
      </c>
      <c r="G16" s="84">
        <f>SUM(G4:G15)</f>
        <v/>
      </c>
      <c r="H16" s="84">
        <f>SUM(H4:H15)</f>
        <v/>
      </c>
      <c r="I16" s="84">
        <f>SUM(I4:I15)</f>
        <v/>
      </c>
      <c r="J16" s="85">
        <f>SUM(J4:J15)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 ht="50" customHeight="1">
      <c r="A1" s="86" t="inlineStr">
        <is>
          <t xml:space="preserve">  WEDDING PLANNING SPREADSHEET  —  MONTHLY DETAIL</t>
        </is>
      </c>
    </row>
    <row r="2" ht="28" customHeight="1">
      <c r="A2" s="87" t="inlineStr">
        <is>
          <t xml:space="preserve">  Price: $19.99  |  Avg Monthly Sales: 25 units  |  Ad Budget: $50/mo  |  Design Cost: $25/mo</t>
        </is>
      </c>
    </row>
    <row r="3" ht="32" customHeight="1">
      <c r="A3" s="88" t="inlineStr">
        <is>
          <t>MONTH</t>
        </is>
      </c>
      <c r="B3" s="88" t="inlineStr">
        <is>
          <t>GROSS REVENUE</t>
        </is>
      </c>
      <c r="C3" s="88" t="inlineStr">
        <is>
          <t>LISTING FEE</t>
        </is>
      </c>
      <c r="D3" s="88" t="inlineStr">
        <is>
          <t>TXN FEE</t>
        </is>
      </c>
      <c r="E3" s="88" t="inlineStr">
        <is>
          <t>PAYMENT FEE</t>
        </is>
      </c>
      <c r="F3" s="88" t="inlineStr">
        <is>
          <t>AD SPEND</t>
        </is>
      </c>
      <c r="G3" s="88" t="inlineStr">
        <is>
          <t>DESIGN COST</t>
        </is>
      </c>
      <c r="H3" s="88" t="inlineStr">
        <is>
          <t>TOTAL COSTS</t>
        </is>
      </c>
      <c r="I3" s="88" t="inlineStr">
        <is>
          <t>NET PROFIT</t>
        </is>
      </c>
      <c r="J3" s="88" t="inlineStr">
        <is>
          <t>MARGIN %</t>
        </is>
      </c>
    </row>
    <row r="4" ht="22" customHeight="1">
      <c r="A4" s="61" t="inlineStr">
        <is>
          <t>January</t>
        </is>
      </c>
      <c r="B4" s="62" t="n">
        <v>419.79</v>
      </c>
      <c r="C4" s="62" t="n">
        <v>0.2</v>
      </c>
      <c r="D4" s="62" t="n">
        <v>27.28635</v>
      </c>
      <c r="E4" s="62" t="n">
        <v>12.5937</v>
      </c>
      <c r="F4" s="62" t="n">
        <v>50</v>
      </c>
      <c r="G4" s="62" t="n">
        <v>25</v>
      </c>
      <c r="H4" s="62" t="n">
        <v>115.08005</v>
      </c>
      <c r="I4" s="17" t="n">
        <v>304.7099499999999</v>
      </c>
      <c r="J4" s="19" t="n">
        <v>72.58628123585601</v>
      </c>
    </row>
    <row r="5" ht="22" customHeight="1">
      <c r="A5" s="63" t="inlineStr">
        <is>
          <t>February</t>
        </is>
      </c>
      <c r="B5" s="64" t="n">
        <v>399.8</v>
      </c>
      <c r="C5" s="64" t="n">
        <v>0.2</v>
      </c>
      <c r="D5" s="64" t="n">
        <v>25.987</v>
      </c>
      <c r="E5" s="64" t="n">
        <v>11.994</v>
      </c>
      <c r="F5" s="64" t="n">
        <v>50</v>
      </c>
      <c r="G5" s="64" t="n">
        <v>25</v>
      </c>
      <c r="H5" s="64" t="n">
        <v>113.181</v>
      </c>
      <c r="I5" s="21" t="n">
        <v>286.619</v>
      </c>
      <c r="J5" s="23" t="n">
        <v>71.69059529764883</v>
      </c>
    </row>
    <row r="6" ht="22" customHeight="1">
      <c r="A6" s="65" t="inlineStr">
        <is>
          <t>March</t>
        </is>
      </c>
      <c r="B6" s="66" t="n">
        <v>439.78</v>
      </c>
      <c r="C6" s="66" t="n">
        <v>0.2</v>
      </c>
      <c r="D6" s="66" t="n">
        <v>28.5857</v>
      </c>
      <c r="E6" s="66" t="n">
        <v>13.1934</v>
      </c>
      <c r="F6" s="66" t="n">
        <v>50</v>
      </c>
      <c r="G6" s="66" t="n">
        <v>25</v>
      </c>
      <c r="H6" s="66" t="n">
        <v>116.9791</v>
      </c>
      <c r="I6" s="25" t="n">
        <v>322.8009</v>
      </c>
      <c r="J6" s="27" t="n">
        <v>73.40054117968074</v>
      </c>
    </row>
    <row r="7" ht="22" customHeight="1">
      <c r="A7" s="67" t="inlineStr">
        <is>
          <t>April</t>
        </is>
      </c>
      <c r="B7" s="68" t="n">
        <v>499.7499999999999</v>
      </c>
      <c r="C7" s="68" t="n">
        <v>0.2</v>
      </c>
      <c r="D7" s="68" t="n">
        <v>32.48375</v>
      </c>
      <c r="E7" s="68" t="n">
        <v>14.9925</v>
      </c>
      <c r="F7" s="68" t="n">
        <v>50</v>
      </c>
      <c r="G7" s="68" t="n">
        <v>25</v>
      </c>
      <c r="H7" s="68" t="n">
        <v>122.67625</v>
      </c>
      <c r="I7" s="29" t="n">
        <v>377.0737499999999</v>
      </c>
      <c r="J7" s="31" t="n">
        <v>75.45247623811905</v>
      </c>
    </row>
    <row r="8" ht="22" customHeight="1">
      <c r="A8" s="69" t="inlineStr">
        <is>
          <t>May</t>
        </is>
      </c>
      <c r="B8" s="70" t="n">
        <v>519.74</v>
      </c>
      <c r="C8" s="70" t="n">
        <v>0.2</v>
      </c>
      <c r="D8" s="70" t="n">
        <v>33.7831</v>
      </c>
      <c r="E8" s="70" t="n">
        <v>15.5922</v>
      </c>
      <c r="F8" s="70" t="n">
        <v>50</v>
      </c>
      <c r="G8" s="70" t="n">
        <v>25</v>
      </c>
      <c r="H8" s="70" t="n">
        <v>124.5753</v>
      </c>
      <c r="I8" s="33" t="n">
        <v>395.1647</v>
      </c>
      <c r="J8" s="35" t="n">
        <v>76.03122715203756</v>
      </c>
    </row>
    <row r="9" ht="22" customHeight="1">
      <c r="A9" s="61" t="inlineStr">
        <is>
          <t>June</t>
        </is>
      </c>
      <c r="B9" s="62" t="n">
        <v>559.7199999999999</v>
      </c>
      <c r="C9" s="62" t="n">
        <v>0.2</v>
      </c>
      <c r="D9" s="62" t="n">
        <v>36.3818</v>
      </c>
      <c r="E9" s="62" t="n">
        <v>16.7916</v>
      </c>
      <c r="F9" s="62" t="n">
        <v>50</v>
      </c>
      <c r="G9" s="62" t="n">
        <v>25</v>
      </c>
      <c r="H9" s="62" t="n">
        <v>128.3734</v>
      </c>
      <c r="I9" s="17" t="n">
        <v>431.3465999999999</v>
      </c>
      <c r="J9" s="19" t="n">
        <v>77.064710926892</v>
      </c>
    </row>
    <row r="10" ht="22" customHeight="1">
      <c r="A10" s="63" t="inlineStr">
        <is>
          <t>July</t>
        </is>
      </c>
      <c r="B10" s="64" t="n">
        <v>479.76</v>
      </c>
      <c r="C10" s="64" t="n">
        <v>0.2</v>
      </c>
      <c r="D10" s="64" t="n">
        <v>31.1844</v>
      </c>
      <c r="E10" s="64" t="n">
        <v>14.3928</v>
      </c>
      <c r="F10" s="64" t="n">
        <v>50</v>
      </c>
      <c r="G10" s="64" t="n">
        <v>25</v>
      </c>
      <c r="H10" s="64" t="n">
        <v>120.7772</v>
      </c>
      <c r="I10" s="21" t="n">
        <v>358.9828</v>
      </c>
      <c r="J10" s="23" t="n">
        <v>74.82549608137403</v>
      </c>
    </row>
    <row r="11" ht="22" customHeight="1">
      <c r="A11" s="65" t="inlineStr">
        <is>
          <t>August</t>
        </is>
      </c>
      <c r="B11" s="66" t="n">
        <v>499.7499999999999</v>
      </c>
      <c r="C11" s="66" t="n">
        <v>0.2</v>
      </c>
      <c r="D11" s="66" t="n">
        <v>32.48375</v>
      </c>
      <c r="E11" s="66" t="n">
        <v>14.9925</v>
      </c>
      <c r="F11" s="66" t="n">
        <v>50</v>
      </c>
      <c r="G11" s="66" t="n">
        <v>25</v>
      </c>
      <c r="H11" s="66" t="n">
        <v>122.67625</v>
      </c>
      <c r="I11" s="25" t="n">
        <v>377.0737499999999</v>
      </c>
      <c r="J11" s="27" t="n">
        <v>75.45247623811905</v>
      </c>
    </row>
    <row r="12" ht="22" customHeight="1">
      <c r="A12" s="67" t="inlineStr">
        <is>
          <t>September</t>
        </is>
      </c>
      <c r="B12" s="68" t="n">
        <v>559.7199999999999</v>
      </c>
      <c r="C12" s="68" t="n">
        <v>0.2</v>
      </c>
      <c r="D12" s="68" t="n">
        <v>36.3818</v>
      </c>
      <c r="E12" s="68" t="n">
        <v>16.7916</v>
      </c>
      <c r="F12" s="68" t="n">
        <v>50</v>
      </c>
      <c r="G12" s="68" t="n">
        <v>25</v>
      </c>
      <c r="H12" s="68" t="n">
        <v>128.3734</v>
      </c>
      <c r="I12" s="29" t="n">
        <v>431.3465999999999</v>
      </c>
      <c r="J12" s="31" t="n">
        <v>77.064710926892</v>
      </c>
    </row>
    <row r="13" ht="22" customHeight="1">
      <c r="A13" s="69" t="inlineStr">
        <is>
          <t>October</t>
        </is>
      </c>
      <c r="B13" s="70" t="n">
        <v>599.6999999999999</v>
      </c>
      <c r="C13" s="70" t="n">
        <v>0.2</v>
      </c>
      <c r="D13" s="70" t="n">
        <v>38.9805</v>
      </c>
      <c r="E13" s="70" t="n">
        <v>17.991</v>
      </c>
      <c r="F13" s="70" t="n">
        <v>50</v>
      </c>
      <c r="G13" s="70" t="n">
        <v>25</v>
      </c>
      <c r="H13" s="70" t="n">
        <v>132.1715</v>
      </c>
      <c r="I13" s="33" t="n">
        <v>467.5285</v>
      </c>
      <c r="J13" s="35" t="n">
        <v>77.96039686509921</v>
      </c>
    </row>
    <row r="14" ht="22" customHeight="1">
      <c r="A14" s="61" t="inlineStr">
        <is>
          <t>November</t>
        </is>
      </c>
      <c r="B14" s="62" t="n">
        <v>639.6799999999999</v>
      </c>
      <c r="C14" s="62" t="n">
        <v>0.2</v>
      </c>
      <c r="D14" s="62" t="n">
        <v>41.5792</v>
      </c>
      <c r="E14" s="62" t="n">
        <v>19.1904</v>
      </c>
      <c r="F14" s="62" t="n">
        <v>50</v>
      </c>
      <c r="G14" s="62" t="n">
        <v>25</v>
      </c>
      <c r="H14" s="62" t="n">
        <v>135.9696</v>
      </c>
      <c r="I14" s="17" t="n">
        <v>503.7103999999999</v>
      </c>
      <c r="J14" s="19" t="n">
        <v>78.74412206103051</v>
      </c>
    </row>
    <row r="15" ht="22" customHeight="1">
      <c r="A15" s="63" t="inlineStr">
        <is>
          <t>December</t>
        </is>
      </c>
      <c r="B15" s="64" t="n">
        <v>699.65</v>
      </c>
      <c r="C15" s="64" t="n">
        <v>0.2</v>
      </c>
      <c r="D15" s="64" t="n">
        <v>45.47725</v>
      </c>
      <c r="E15" s="64" t="n">
        <v>20.9895</v>
      </c>
      <c r="F15" s="64" t="n">
        <v>50</v>
      </c>
      <c r="G15" s="64" t="n">
        <v>25</v>
      </c>
      <c r="H15" s="64" t="n">
        <v>141.66675</v>
      </c>
      <c r="I15" s="21" t="n">
        <v>557.98325</v>
      </c>
      <c r="J15" s="23" t="n">
        <v>79.75176874151362</v>
      </c>
    </row>
    <row r="16" ht="28" customHeight="1">
      <c r="A16" s="89" t="inlineStr">
        <is>
          <t>ANNUAL TOTAL</t>
        </is>
      </c>
      <c r="B16" s="90">
        <f>SUM(B4:B15)</f>
        <v/>
      </c>
      <c r="C16" s="90">
        <f>SUM(C4:C15)</f>
        <v/>
      </c>
      <c r="D16" s="90">
        <f>SUM(D4:D15)</f>
        <v/>
      </c>
      <c r="E16" s="90">
        <f>SUM(E4:E15)</f>
        <v/>
      </c>
      <c r="F16" s="90">
        <f>SUM(F4:F15)</f>
        <v/>
      </c>
      <c r="G16" s="90">
        <f>SUM(G4:G15)</f>
        <v/>
      </c>
      <c r="H16" s="90">
        <f>SUM(H4:H15)</f>
        <v/>
      </c>
      <c r="I16" s="90">
        <f>SUM(I4:I15)</f>
        <v/>
      </c>
      <c r="J16" s="91">
        <f>SUM(J4:J15)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 ht="50" customHeight="1">
      <c r="A1" s="92" t="inlineStr">
        <is>
          <t xml:space="preserve">  BUSINESS INVOICE TEMPLATE  —  MONTHLY DETAIL</t>
        </is>
      </c>
    </row>
    <row r="2" ht="28" customHeight="1">
      <c r="A2" s="93" t="inlineStr">
        <is>
          <t xml:space="preserve">  Price: $12.99  |  Avg Monthly Sales: 40 units  |  Ad Budget: $35/mo  |  Design Cost: $18/mo</t>
        </is>
      </c>
    </row>
    <row r="3" ht="32" customHeight="1">
      <c r="A3" s="13" t="inlineStr">
        <is>
          <t>MONTH</t>
        </is>
      </c>
      <c r="B3" s="13" t="inlineStr">
        <is>
          <t>GROSS REVENUE</t>
        </is>
      </c>
      <c r="C3" s="13" t="inlineStr">
        <is>
          <t>LISTING FEE</t>
        </is>
      </c>
      <c r="D3" s="13" t="inlineStr">
        <is>
          <t>TXN FEE</t>
        </is>
      </c>
      <c r="E3" s="13" t="inlineStr">
        <is>
          <t>PAYMENT FEE</t>
        </is>
      </c>
      <c r="F3" s="13" t="inlineStr">
        <is>
          <t>AD SPEND</t>
        </is>
      </c>
      <c r="G3" s="13" t="inlineStr">
        <is>
          <t>DESIGN COST</t>
        </is>
      </c>
      <c r="H3" s="13" t="inlineStr">
        <is>
          <t>TOTAL COSTS</t>
        </is>
      </c>
      <c r="I3" s="13" t="inlineStr">
        <is>
          <t>NET PROFIT</t>
        </is>
      </c>
      <c r="J3" s="13" t="inlineStr">
        <is>
          <t>MARGIN %</t>
        </is>
      </c>
    </row>
    <row r="4" ht="22" customHeight="1">
      <c r="A4" s="61" t="inlineStr">
        <is>
          <t>January</t>
        </is>
      </c>
      <c r="B4" s="62" t="n">
        <v>441.66</v>
      </c>
      <c r="C4" s="62" t="n">
        <v>0.2</v>
      </c>
      <c r="D4" s="62" t="n">
        <v>28.7079</v>
      </c>
      <c r="E4" s="62" t="n">
        <v>13.2498</v>
      </c>
      <c r="F4" s="62" t="n">
        <v>35</v>
      </c>
      <c r="G4" s="62" t="n">
        <v>18</v>
      </c>
      <c r="H4" s="62" t="n">
        <v>95.15770000000001</v>
      </c>
      <c r="I4" s="17" t="n">
        <v>346.5023</v>
      </c>
      <c r="J4" s="19" t="n">
        <v>78.4545351627949</v>
      </c>
    </row>
    <row r="5" ht="22" customHeight="1">
      <c r="A5" s="63" t="inlineStr">
        <is>
          <t>February</t>
        </is>
      </c>
      <c r="B5" s="64" t="n">
        <v>415.68</v>
      </c>
      <c r="C5" s="64" t="n">
        <v>0.2</v>
      </c>
      <c r="D5" s="64" t="n">
        <v>27.0192</v>
      </c>
      <c r="E5" s="64" t="n">
        <v>12.4704</v>
      </c>
      <c r="F5" s="64" t="n">
        <v>35</v>
      </c>
      <c r="G5" s="64" t="n">
        <v>18</v>
      </c>
      <c r="H5" s="64" t="n">
        <v>92.6896</v>
      </c>
      <c r="I5" s="21" t="n">
        <v>322.9904</v>
      </c>
      <c r="J5" s="23" t="n">
        <v>77.70169361046959</v>
      </c>
    </row>
    <row r="6" ht="22" customHeight="1">
      <c r="A6" s="65" t="inlineStr">
        <is>
          <t>March</t>
        </is>
      </c>
      <c r="B6" s="66" t="n">
        <v>467.64</v>
      </c>
      <c r="C6" s="66" t="n">
        <v>0.2</v>
      </c>
      <c r="D6" s="66" t="n">
        <v>30.3966</v>
      </c>
      <c r="E6" s="66" t="n">
        <v>14.0292</v>
      </c>
      <c r="F6" s="66" t="n">
        <v>35</v>
      </c>
      <c r="G6" s="66" t="n">
        <v>18</v>
      </c>
      <c r="H6" s="66" t="n">
        <v>97.6258</v>
      </c>
      <c r="I6" s="25" t="n">
        <v>370.0142</v>
      </c>
      <c r="J6" s="27" t="n">
        <v>79.12372765375075</v>
      </c>
    </row>
    <row r="7" ht="22" customHeight="1">
      <c r="A7" s="67" t="inlineStr">
        <is>
          <t>April</t>
        </is>
      </c>
      <c r="B7" s="68" t="n">
        <v>519.6</v>
      </c>
      <c r="C7" s="68" t="n">
        <v>0.2</v>
      </c>
      <c r="D7" s="68" t="n">
        <v>33.774</v>
      </c>
      <c r="E7" s="68" t="n">
        <v>15.588</v>
      </c>
      <c r="F7" s="68" t="n">
        <v>35</v>
      </c>
      <c r="G7" s="68" t="n">
        <v>18</v>
      </c>
      <c r="H7" s="68" t="n">
        <v>102.562</v>
      </c>
      <c r="I7" s="29" t="n">
        <v>417.038</v>
      </c>
      <c r="J7" s="31" t="n">
        <v>80.26135488837566</v>
      </c>
    </row>
    <row r="8" ht="22" customHeight="1">
      <c r="A8" s="69" t="inlineStr">
        <is>
          <t>May</t>
        </is>
      </c>
      <c r="B8" s="70" t="n">
        <v>545.58</v>
      </c>
      <c r="C8" s="70" t="n">
        <v>0.2</v>
      </c>
      <c r="D8" s="70" t="n">
        <v>35.46270000000001</v>
      </c>
      <c r="E8" s="70" t="n">
        <v>16.3674</v>
      </c>
      <c r="F8" s="70" t="n">
        <v>35</v>
      </c>
      <c r="G8" s="70" t="n">
        <v>18</v>
      </c>
      <c r="H8" s="70" t="n">
        <v>105.0301</v>
      </c>
      <c r="I8" s="33" t="n">
        <v>440.5499</v>
      </c>
      <c r="J8" s="35" t="n">
        <v>80.74890941750064</v>
      </c>
    </row>
    <row r="9" ht="22" customHeight="1">
      <c r="A9" s="61" t="inlineStr">
        <is>
          <t>June</t>
        </is>
      </c>
      <c r="B9" s="62" t="n">
        <v>571.5600000000001</v>
      </c>
      <c r="C9" s="62" t="n">
        <v>0.2</v>
      </c>
      <c r="D9" s="62" t="n">
        <v>37.1514</v>
      </c>
      <c r="E9" s="62" t="n">
        <v>17.1468</v>
      </c>
      <c r="F9" s="62" t="n">
        <v>35</v>
      </c>
      <c r="G9" s="62" t="n">
        <v>18</v>
      </c>
      <c r="H9" s="62" t="n">
        <v>107.4982</v>
      </c>
      <c r="I9" s="17" t="n">
        <v>464.0618000000001</v>
      </c>
      <c r="J9" s="19" t="n">
        <v>81.19214080761425</v>
      </c>
    </row>
    <row r="10" ht="22" customHeight="1">
      <c r="A10" s="63" t="inlineStr">
        <is>
          <t>July</t>
        </is>
      </c>
      <c r="B10" s="64" t="n">
        <v>493.62</v>
      </c>
      <c r="C10" s="64" t="n">
        <v>0.2</v>
      </c>
      <c r="D10" s="64" t="n">
        <v>32.0853</v>
      </c>
      <c r="E10" s="64" t="n">
        <v>14.8086</v>
      </c>
      <c r="F10" s="64" t="n">
        <v>35</v>
      </c>
      <c r="G10" s="64" t="n">
        <v>18</v>
      </c>
      <c r="H10" s="64" t="n">
        <v>100.0939</v>
      </c>
      <c r="I10" s="21" t="n">
        <v>393.5261</v>
      </c>
      <c r="J10" s="23" t="n">
        <v>79.72247882986913</v>
      </c>
    </row>
    <row r="11" ht="22" customHeight="1">
      <c r="A11" s="65" t="inlineStr">
        <is>
          <t>August</t>
        </is>
      </c>
      <c r="B11" s="66" t="n">
        <v>519.6</v>
      </c>
      <c r="C11" s="66" t="n">
        <v>0.2</v>
      </c>
      <c r="D11" s="66" t="n">
        <v>33.774</v>
      </c>
      <c r="E11" s="66" t="n">
        <v>15.588</v>
      </c>
      <c r="F11" s="66" t="n">
        <v>35</v>
      </c>
      <c r="G11" s="66" t="n">
        <v>18</v>
      </c>
      <c r="H11" s="66" t="n">
        <v>102.562</v>
      </c>
      <c r="I11" s="25" t="n">
        <v>417.038</v>
      </c>
      <c r="J11" s="27" t="n">
        <v>80.26135488837566</v>
      </c>
    </row>
    <row r="12" ht="22" customHeight="1">
      <c r="A12" s="67" t="inlineStr">
        <is>
          <t>September</t>
        </is>
      </c>
      <c r="B12" s="68" t="n">
        <v>571.5600000000001</v>
      </c>
      <c r="C12" s="68" t="n">
        <v>0.2</v>
      </c>
      <c r="D12" s="68" t="n">
        <v>37.1514</v>
      </c>
      <c r="E12" s="68" t="n">
        <v>17.1468</v>
      </c>
      <c r="F12" s="68" t="n">
        <v>35</v>
      </c>
      <c r="G12" s="68" t="n">
        <v>18</v>
      </c>
      <c r="H12" s="68" t="n">
        <v>107.4982</v>
      </c>
      <c r="I12" s="29" t="n">
        <v>464.0618000000001</v>
      </c>
      <c r="J12" s="31" t="n">
        <v>81.19214080761425</v>
      </c>
    </row>
    <row r="13" ht="22" customHeight="1">
      <c r="A13" s="69" t="inlineStr">
        <is>
          <t>October</t>
        </is>
      </c>
      <c r="B13" s="70" t="n">
        <v>623.52</v>
      </c>
      <c r="C13" s="70" t="n">
        <v>0.2</v>
      </c>
      <c r="D13" s="70" t="n">
        <v>40.5288</v>
      </c>
      <c r="E13" s="70" t="n">
        <v>18.7056</v>
      </c>
      <c r="F13" s="70" t="n">
        <v>35</v>
      </c>
      <c r="G13" s="70" t="n">
        <v>18</v>
      </c>
      <c r="H13" s="70" t="n">
        <v>112.4344</v>
      </c>
      <c r="I13" s="33" t="n">
        <v>511.0856</v>
      </c>
      <c r="J13" s="35" t="n">
        <v>81.96779574031306</v>
      </c>
    </row>
    <row r="14" ht="22" customHeight="1">
      <c r="A14" s="61" t="inlineStr">
        <is>
          <t>November</t>
        </is>
      </c>
      <c r="B14" s="62" t="n">
        <v>675.48</v>
      </c>
      <c r="C14" s="62" t="n">
        <v>0.2</v>
      </c>
      <c r="D14" s="62" t="n">
        <v>43.90620000000001</v>
      </c>
      <c r="E14" s="62" t="n">
        <v>20.2644</v>
      </c>
      <c r="F14" s="62" t="n">
        <v>35</v>
      </c>
      <c r="G14" s="62" t="n">
        <v>18</v>
      </c>
      <c r="H14" s="62" t="n">
        <v>117.3706</v>
      </c>
      <c r="I14" s="17" t="n">
        <v>558.1094000000001</v>
      </c>
      <c r="J14" s="19" t="n">
        <v>82.62411914490437</v>
      </c>
    </row>
    <row r="15" ht="22" customHeight="1">
      <c r="A15" s="63" t="inlineStr">
        <is>
          <t>December</t>
        </is>
      </c>
      <c r="B15" s="64" t="n">
        <v>727.4400000000001</v>
      </c>
      <c r="C15" s="64" t="n">
        <v>0.2</v>
      </c>
      <c r="D15" s="64" t="n">
        <v>47.28360000000001</v>
      </c>
      <c r="E15" s="64" t="n">
        <v>21.8232</v>
      </c>
      <c r="F15" s="64" t="n">
        <v>35</v>
      </c>
      <c r="G15" s="64" t="n">
        <v>18</v>
      </c>
      <c r="H15" s="64" t="n">
        <v>122.3068</v>
      </c>
      <c r="I15" s="21" t="n">
        <v>605.1332</v>
      </c>
      <c r="J15" s="23" t="n">
        <v>83.18668206312547</v>
      </c>
    </row>
    <row r="16" ht="28" customHeight="1">
      <c r="A16" s="94" t="inlineStr">
        <is>
          <t>ANNUAL TOTAL</t>
        </is>
      </c>
      <c r="B16" s="95">
        <f>SUM(B4:B15)</f>
        <v/>
      </c>
      <c r="C16" s="95">
        <f>SUM(C4:C15)</f>
        <v/>
      </c>
      <c r="D16" s="95">
        <f>SUM(D4:D15)</f>
        <v/>
      </c>
      <c r="E16" s="95">
        <f>SUM(E4:E15)</f>
        <v/>
      </c>
      <c r="F16" s="95">
        <f>SUM(F4:F15)</f>
        <v/>
      </c>
      <c r="G16" s="95">
        <f>SUM(G4:G15)</f>
        <v/>
      </c>
      <c r="H16" s="95">
        <f>SUM(H4:H15)</f>
        <v/>
      </c>
      <c r="I16" s="95">
        <f>SUM(I4:I15)</f>
        <v/>
      </c>
      <c r="J16" s="96">
        <f>SUM(J4:J15)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 ht="45" customHeight="1">
      <c r="A1" s="97" t="inlineStr">
        <is>
          <t xml:space="preserve">  ANNUAL PRODUCT COMPARISON SUMMARY</t>
        </is>
      </c>
    </row>
    <row r="2" ht="32" customHeight="1">
      <c r="A2" s="98" t="inlineStr">
        <is>
          <t>PRODUCT</t>
        </is>
      </c>
      <c r="B2" s="98" t="inlineStr">
        <is>
          <t>ANNUAL REVENUE</t>
        </is>
      </c>
      <c r="C2" s="98" t="inlineStr">
        <is>
          <t>ANNUAL COSTS</t>
        </is>
      </c>
      <c r="D2" s="98" t="inlineStr">
        <is>
          <t>ANNUAL PROFIT</t>
        </is>
      </c>
      <c r="E2" s="98" t="inlineStr">
        <is>
          <t>MARGIN %</t>
        </is>
      </c>
      <c r="F2" s="98" t="inlineStr">
        <is>
          <t>BEST MONTH</t>
        </is>
      </c>
      <c r="G2" s="98" t="inlineStr">
        <is>
          <t>STATUS</t>
        </is>
      </c>
    </row>
    <row r="3" ht="26" customHeight="1">
      <c r="A3" s="99" t="inlineStr">
        <is>
          <t>Monthly Budget Planner</t>
        </is>
      </c>
      <c r="B3" s="100" t="n">
        <v>5684.31</v>
      </c>
      <c r="C3" s="100" t="n">
        <v>1082.40945</v>
      </c>
      <c r="D3" s="101" t="n">
        <v>4601.90055</v>
      </c>
      <c r="E3" s="102" t="n">
        <v>80.95794476374442</v>
      </c>
      <c r="F3" s="103" t="inlineStr">
        <is>
          <t>December</t>
        </is>
      </c>
      <c r="G3" s="104" t="inlineStr">
        <is>
          <t>Profitable</t>
        </is>
      </c>
    </row>
    <row r="4" ht="26" customHeight="1">
      <c r="A4" s="105" t="inlineStr">
        <is>
          <t>Etsy Seller Finance Tracker</t>
        </is>
      </c>
      <c r="B4" s="106" t="n">
        <v>6640.57</v>
      </c>
      <c r="C4" s="106" t="n">
        <v>1353.25415</v>
      </c>
      <c r="D4" s="107" t="n">
        <v>5287.315849999999</v>
      </c>
      <c r="E4" s="108" t="n">
        <v>79.62141578207894</v>
      </c>
      <c r="F4" s="109" t="inlineStr">
        <is>
          <t>December</t>
        </is>
      </c>
      <c r="G4" s="110" t="inlineStr">
        <is>
          <t>Profitable</t>
        </is>
      </c>
    </row>
    <row r="5" ht="26" customHeight="1">
      <c r="A5" s="111" t="inlineStr">
        <is>
          <t>Social Media Content Calendar</t>
        </is>
      </c>
      <c r="B5" s="112" t="n">
        <v>5577.02</v>
      </c>
      <c r="C5" s="112" t="n">
        <v>952.2169000000001</v>
      </c>
      <c r="D5" s="113" t="n">
        <v>4624.8031</v>
      </c>
      <c r="E5" s="114" t="n">
        <v>82.92606266429024</v>
      </c>
      <c r="F5" s="115" t="inlineStr">
        <is>
          <t>December</t>
        </is>
      </c>
      <c r="G5" s="116" t="inlineStr">
        <is>
          <t>Profitable</t>
        </is>
      </c>
    </row>
    <row r="6" ht="26" customHeight="1">
      <c r="A6" s="117" t="inlineStr">
        <is>
          <t>Wedding Planning Spreadsheet</t>
        </is>
      </c>
      <c r="B6" s="118" t="n">
        <v>6316.839999999999</v>
      </c>
      <c r="C6" s="118" t="n">
        <v>1502.4998</v>
      </c>
      <c r="D6" s="119" t="n">
        <v>4814.340199999999</v>
      </c>
      <c r="E6" s="120" t="n">
        <v>76.21437617542948</v>
      </c>
      <c r="F6" s="121" t="inlineStr">
        <is>
          <t>December</t>
        </is>
      </c>
      <c r="G6" s="122" t="inlineStr">
        <is>
          <t>Profitable</t>
        </is>
      </c>
    </row>
    <row r="7" ht="26" customHeight="1">
      <c r="A7" s="123" t="inlineStr">
        <is>
          <t>Business Invoice Template</t>
        </is>
      </c>
      <c r="B7" s="124" t="n">
        <v>6572.940000000001</v>
      </c>
      <c r="C7" s="124" t="n">
        <v>1262.8293</v>
      </c>
      <c r="D7" s="125" t="n">
        <v>5310.1107</v>
      </c>
      <c r="E7" s="126" t="n">
        <v>80.78745127751051</v>
      </c>
      <c r="F7" s="127" t="inlineStr">
        <is>
          <t>December</t>
        </is>
      </c>
      <c r="G7" s="128" t="inlineStr">
        <is>
          <t>Profitable</t>
        </is>
      </c>
    </row>
    <row r="9" ht="30" customHeight="1">
      <c r="A9" s="129" t="inlineStr">
        <is>
          <t>PORTFOLIO TOTAL</t>
        </is>
      </c>
      <c r="B9" s="130">
        <f>SUM(B3:B8)</f>
        <v/>
      </c>
      <c r="C9" s="130">
        <f>SUM(C3:C8)</f>
        <v/>
      </c>
      <c r="D9" s="130">
        <f>SUM(D3:D8)</f>
        <v/>
      </c>
      <c r="E9" s="131">
        <f>SUM(E3:E8)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2026-06-25T20:50:27Z</dcterms:created>
  <dcterms:modified xsi:type="dcterms:W3CDTF">2026-06-25T20:50:27Z</dcterms:modified>
</cp:coreProperties>
</file>